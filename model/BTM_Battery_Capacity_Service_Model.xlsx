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xr:revisionPtr revIDLastSave="0" documentId="13_ncr:1_{3A8F86EC-FB5B-614C-8CAC-07CC4BA2A1BB}" xr6:coauthVersionLast="47" xr6:coauthVersionMax="47" xr10:uidLastSave="{00000000-0000-0000-0000-000000000000}"/>
  <bookViews>
    <workbookView xWindow="0" yWindow="660" windowWidth="30240" windowHeight="17740" activeTab="8" xr2:uid="{00000000-000D-0000-FFFF-FFFF00000000}"/>
  </bookViews>
  <sheets>
    <sheet name="ReadMe" sheetId="1" r:id="rId1"/>
    <sheet name="Inputs" sheetId="2" r:id="rId2"/>
    <sheet name="Events" sheetId="3" r:id="rId3"/>
    <sheet name="Technical" sheetId="4" r:id="rId4"/>
    <sheet name="Costs" sheetId="5" r:id="rId5"/>
    <sheet name="CashFlow" sheetId="6" r:id="rId6"/>
    <sheet name="Results" sheetId="7" r:id="rId7"/>
    <sheet name="Sensitivity" sheetId="8" r:id="rId8"/>
    <sheet name="Custome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9" l="1"/>
  <c r="B32" i="9"/>
  <c r="B31" i="9"/>
  <c r="B23" i="9"/>
  <c r="B7" i="9"/>
  <c r="B6" i="9"/>
  <c r="B5" i="9"/>
  <c r="B4" i="9"/>
  <c r="B11" i="9" s="1"/>
  <c r="A66" i="8" s="1"/>
  <c r="J66" i="8" s="1"/>
  <c r="B9" i="7"/>
  <c r="B12" i="9" s="1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Q7" i="6"/>
  <c r="C7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C62" i="6" s="1"/>
  <c r="R5" i="6"/>
  <c r="R7" i="6" s="1"/>
  <c r="Q5" i="6"/>
  <c r="P5" i="6"/>
  <c r="P7" i="6" s="1"/>
  <c r="O5" i="6"/>
  <c r="N5" i="6"/>
  <c r="N7" i="6" s="1"/>
  <c r="M5" i="6"/>
  <c r="M7" i="6" s="1"/>
  <c r="L5" i="6"/>
  <c r="L7" i="6" s="1"/>
  <c r="K5" i="6"/>
  <c r="K7" i="6" s="1"/>
  <c r="J5" i="6"/>
  <c r="I5" i="6"/>
  <c r="H5" i="6"/>
  <c r="G5" i="6"/>
  <c r="G7" i="6" s="1"/>
  <c r="F5" i="6"/>
  <c r="E5" i="6"/>
  <c r="E7" i="6" s="1"/>
  <c r="D5" i="6"/>
  <c r="D7" i="6" s="1"/>
  <c r="C5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23" i="5"/>
  <c r="B8" i="5"/>
  <c r="B44" i="4"/>
  <c r="B20" i="9" s="1"/>
  <c r="B23" i="4"/>
  <c r="B19" i="4"/>
  <c r="B15" i="4"/>
  <c r="B8" i="4"/>
  <c r="B7" i="4"/>
  <c r="I7" i="6" s="1"/>
  <c r="B5" i="4"/>
  <c r="B4" i="4"/>
  <c r="B34" i="4" s="1"/>
  <c r="J20" i="3"/>
  <c r="F20" i="3"/>
  <c r="J19" i="3"/>
  <c r="F19" i="3"/>
  <c r="J18" i="3"/>
  <c r="F18" i="3"/>
  <c r="J17" i="3"/>
  <c r="F17" i="3"/>
  <c r="J16" i="3"/>
  <c r="F16" i="3"/>
  <c r="J15" i="3"/>
  <c r="F15" i="3"/>
  <c r="J14" i="3"/>
  <c r="F14" i="3"/>
  <c r="J13" i="3"/>
  <c r="F13" i="3"/>
  <c r="J12" i="3"/>
  <c r="F12" i="3"/>
  <c r="J11" i="3"/>
  <c r="F11" i="3"/>
  <c r="J10" i="3"/>
  <c r="F10" i="3"/>
  <c r="B24" i="4" s="1"/>
  <c r="J9" i="3"/>
  <c r="F9" i="3"/>
  <c r="J8" i="3"/>
  <c r="F8" i="3"/>
  <c r="J7" i="3"/>
  <c r="F7" i="3"/>
  <c r="J6" i="3"/>
  <c r="F6" i="3"/>
  <c r="F5" i="3"/>
  <c r="B24" i="9" s="1"/>
  <c r="B25" i="9" s="1"/>
  <c r="C86" i="2"/>
  <c r="C65" i="2"/>
  <c r="H68" i="8"/>
  <c r="C68" i="8" s="1"/>
  <c r="D68" i="8" s="1"/>
  <c r="H67" i="8"/>
  <c r="C67" i="8" s="1"/>
  <c r="D67" i="8" s="1"/>
  <c r="H66" i="8"/>
  <c r="C66" i="8" s="1"/>
  <c r="D66" i="8" s="1"/>
  <c r="J65" i="8"/>
  <c r="H65" i="8"/>
  <c r="C65" i="8" s="1"/>
  <c r="D65" i="8" s="1"/>
  <c r="J64" i="8"/>
  <c r="H64" i="8"/>
  <c r="C64" i="8" s="1"/>
  <c r="D64" i="8" s="1"/>
  <c r="J63" i="8"/>
  <c r="H63" i="8"/>
  <c r="C63" i="8" s="1"/>
  <c r="D63" i="8" s="1"/>
  <c r="H48" i="8"/>
  <c r="B48" i="8" s="1"/>
  <c r="G48" i="8"/>
  <c r="F48" i="8"/>
  <c r="E48" i="8"/>
  <c r="A48" i="8"/>
  <c r="H47" i="8"/>
  <c r="B47" i="8" s="1"/>
  <c r="G47" i="8"/>
  <c r="F47" i="8"/>
  <c r="E47" i="8"/>
  <c r="A47" i="8"/>
  <c r="H46" i="8"/>
  <c r="B46" i="8" s="1"/>
  <c r="G46" i="8"/>
  <c r="F46" i="8"/>
  <c r="E46" i="8"/>
  <c r="A46" i="8"/>
  <c r="H45" i="8"/>
  <c r="B45" i="8" s="1"/>
  <c r="G45" i="8"/>
  <c r="F45" i="8"/>
  <c r="E45" i="8"/>
  <c r="A45" i="8"/>
  <c r="H44" i="8"/>
  <c r="B44" i="8" s="1"/>
  <c r="G44" i="8"/>
  <c r="F44" i="8"/>
  <c r="E44" i="8"/>
  <c r="A44" i="8"/>
  <c r="H43" i="8"/>
  <c r="B43" i="8" s="1"/>
  <c r="G43" i="8"/>
  <c r="F43" i="8"/>
  <c r="E43" i="8"/>
  <c r="A43" i="8"/>
  <c r="H42" i="8"/>
  <c r="B42" i="8" s="1"/>
  <c r="G42" i="8"/>
  <c r="F42" i="8"/>
  <c r="E42" i="8"/>
  <c r="A42" i="8"/>
  <c r="H41" i="8"/>
  <c r="G41" i="8"/>
  <c r="F41" i="8"/>
  <c r="E41" i="8"/>
  <c r="B41" i="8"/>
  <c r="A41" i="8"/>
  <c r="H40" i="8"/>
  <c r="G40" i="8"/>
  <c r="F40" i="8"/>
  <c r="E40" i="8"/>
  <c r="B40" i="8"/>
  <c r="C53" i="8" s="1"/>
  <c r="A40" i="8"/>
  <c r="H39" i="8"/>
  <c r="B39" i="8" s="1"/>
  <c r="G39" i="8"/>
  <c r="F39" i="8"/>
  <c r="E39" i="8"/>
  <c r="A39" i="8"/>
  <c r="H38" i="8"/>
  <c r="B38" i="8" s="1"/>
  <c r="G38" i="8"/>
  <c r="F38" i="8"/>
  <c r="E38" i="8"/>
  <c r="A38" i="8"/>
  <c r="H37" i="8"/>
  <c r="G37" i="8"/>
  <c r="F37" i="8"/>
  <c r="E37" i="8"/>
  <c r="B37" i="8"/>
  <c r="A37" i="8"/>
  <c r="H36" i="8"/>
  <c r="G36" i="8"/>
  <c r="F36" i="8"/>
  <c r="E36" i="8"/>
  <c r="B36" i="8"/>
  <c r="A36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E29" i="8"/>
  <c r="D29" i="8"/>
  <c r="C29" i="8"/>
  <c r="B29" i="8"/>
  <c r="G28" i="8"/>
  <c r="F28" i="8"/>
  <c r="E28" i="8"/>
  <c r="D28" i="8"/>
  <c r="C28" i="8"/>
  <c r="B28" i="8"/>
  <c r="G27" i="8"/>
  <c r="F27" i="8"/>
  <c r="D27" i="8"/>
  <c r="C27" i="8"/>
  <c r="B27" i="8"/>
  <c r="G26" i="8"/>
  <c r="F26" i="8"/>
  <c r="D26" i="8"/>
  <c r="C26" i="8"/>
  <c r="B26" i="8"/>
  <c r="G25" i="8"/>
  <c r="F25" i="8"/>
  <c r="E25" i="8"/>
  <c r="D25" i="8"/>
  <c r="C25" i="8"/>
  <c r="B25" i="8"/>
  <c r="G24" i="8"/>
  <c r="F24" i="8"/>
  <c r="E24" i="8"/>
  <c r="D24" i="8"/>
  <c r="C24" i="8"/>
  <c r="B24" i="8"/>
  <c r="G23" i="8"/>
  <c r="F23" i="8"/>
  <c r="E23" i="8"/>
  <c r="D23" i="8"/>
  <c r="C23" i="8"/>
  <c r="B23" i="8"/>
  <c r="G22" i="8"/>
  <c r="F22" i="8"/>
  <c r="E22" i="8"/>
  <c r="D22" i="8"/>
  <c r="C22" i="8"/>
  <c r="B22" i="8"/>
  <c r="G21" i="8"/>
  <c r="F21" i="8"/>
  <c r="E21" i="8"/>
  <c r="D21" i="8"/>
  <c r="C21" i="8"/>
  <c r="B21" i="8"/>
  <c r="G20" i="8"/>
  <c r="F20" i="8"/>
  <c r="E20" i="8"/>
  <c r="D20" i="8"/>
  <c r="C20" i="8"/>
  <c r="B20" i="8"/>
  <c r="B15" i="8"/>
  <c r="B14" i="8"/>
  <c r="B13" i="8"/>
  <c r="B12" i="8"/>
  <c r="B11" i="8"/>
  <c r="B27" i="4" s="1"/>
  <c r="B34" i="7" s="1"/>
  <c r="B10" i="8"/>
  <c r="B9" i="8"/>
  <c r="B8" i="8"/>
  <c r="C41" i="8" l="1"/>
  <c r="K11" i="6"/>
  <c r="L11" i="6"/>
  <c r="I11" i="6"/>
  <c r="C37" i="8"/>
  <c r="P11" i="6"/>
  <c r="C11" i="6"/>
  <c r="Q11" i="6"/>
  <c r="M11" i="6"/>
  <c r="N11" i="6"/>
  <c r="D11" i="6"/>
  <c r="B14" i="7" s="1"/>
  <c r="R11" i="6"/>
  <c r="G11" i="6"/>
  <c r="E11" i="6"/>
  <c r="B13" i="9"/>
  <c r="C42" i="8"/>
  <c r="C45" i="8"/>
  <c r="C44" i="8"/>
  <c r="C47" i="8"/>
  <c r="C48" i="8"/>
  <c r="C38" i="8"/>
  <c r="B58" i="8"/>
  <c r="C52" i="8"/>
  <c r="C46" i="8"/>
  <c r="C39" i="8"/>
  <c r="B53" i="8"/>
  <c r="D53" i="8" s="1"/>
  <c r="G9" i="6"/>
  <c r="G10" i="6" s="1"/>
  <c r="F9" i="6"/>
  <c r="F10" i="6" s="1"/>
  <c r="E9" i="6"/>
  <c r="E10" i="6" s="1"/>
  <c r="R9" i="6"/>
  <c r="R10" i="6" s="1"/>
  <c r="D9" i="6"/>
  <c r="D10" i="6" s="1"/>
  <c r="Q9" i="6"/>
  <c r="Q10" i="6" s="1"/>
  <c r="C9" i="6"/>
  <c r="C10" i="6" s="1"/>
  <c r="P9" i="6"/>
  <c r="P10" i="6" s="1"/>
  <c r="O9" i="6"/>
  <c r="O10" i="6" s="1"/>
  <c r="N9" i="6"/>
  <c r="N10" i="6" s="1"/>
  <c r="M9" i="6"/>
  <c r="M10" i="6" s="1"/>
  <c r="L9" i="6"/>
  <c r="L10" i="6" s="1"/>
  <c r="K9" i="6"/>
  <c r="K10" i="6" s="1"/>
  <c r="K12" i="6" s="1"/>
  <c r="J9" i="6"/>
  <c r="J10" i="6" s="1"/>
  <c r="J12" i="6" s="1"/>
  <c r="I9" i="6"/>
  <c r="I10" i="6" s="1"/>
  <c r="I12" i="6" s="1"/>
  <c r="H9" i="6"/>
  <c r="H10" i="6" s="1"/>
  <c r="C40" i="8"/>
  <c r="B52" i="8"/>
  <c r="J7" i="6"/>
  <c r="J11" i="6" s="1"/>
  <c r="B20" i="4"/>
  <c r="B21" i="4"/>
  <c r="B6" i="4"/>
  <c r="O7" i="6"/>
  <c r="O11" i="6" s="1"/>
  <c r="B54" i="8"/>
  <c r="B9" i="4"/>
  <c r="C54" i="8"/>
  <c r="B57" i="8"/>
  <c r="B12" i="4"/>
  <c r="B13" i="4" s="1"/>
  <c r="B30" i="4"/>
  <c r="B9" i="9"/>
  <c r="A68" i="8" s="1"/>
  <c r="J68" i="8" s="1"/>
  <c r="F7" i="6"/>
  <c r="F11" i="6" s="1"/>
  <c r="B10" i="9"/>
  <c r="A67" i="8" s="1"/>
  <c r="J67" i="8" s="1"/>
  <c r="C36" i="8"/>
  <c r="C43" i="8"/>
  <c r="H7" i="6"/>
  <c r="H11" i="6" s="1"/>
  <c r="C41" i="6"/>
  <c r="B16" i="4"/>
  <c r="D54" i="8" l="1"/>
  <c r="L12" i="6"/>
  <c r="G12" i="6"/>
  <c r="C12" i="6"/>
  <c r="M12" i="6"/>
  <c r="P12" i="6"/>
  <c r="B61" i="7"/>
  <c r="N12" i="6"/>
  <c r="O12" i="6"/>
  <c r="Q12" i="6"/>
  <c r="R12" i="6"/>
  <c r="E12" i="6"/>
  <c r="B30" i="7"/>
  <c r="B29" i="7"/>
  <c r="B22" i="9"/>
  <c r="B22" i="4"/>
  <c r="D52" i="8"/>
  <c r="B14" i="9"/>
  <c r="B60" i="7"/>
  <c r="D12" i="6"/>
  <c r="B13" i="7"/>
  <c r="B31" i="7" s="1"/>
  <c r="H12" i="6"/>
  <c r="F12" i="6"/>
  <c r="B6" i="7"/>
  <c r="B10" i="4"/>
  <c r="B7" i="7" s="1"/>
  <c r="B16" i="9"/>
  <c r="B17" i="9" s="1"/>
  <c r="B52" i="7" s="1"/>
  <c r="B32" i="4"/>
  <c r="B5" i="5" s="1"/>
  <c r="B31" i="4"/>
  <c r="B4" i="7"/>
  <c r="B14" i="4"/>
  <c r="B11" i="4"/>
  <c r="B33" i="4" l="1"/>
  <c r="B5" i="7"/>
  <c r="K19" i="3"/>
  <c r="L19" i="3" s="1"/>
  <c r="M19" i="3" s="1"/>
  <c r="K5" i="3"/>
  <c r="L5" i="3" s="1"/>
  <c r="K17" i="3"/>
  <c r="L17" i="3" s="1"/>
  <c r="M17" i="3" s="1"/>
  <c r="K16" i="3"/>
  <c r="L16" i="3" s="1"/>
  <c r="M16" i="3" s="1"/>
  <c r="K15" i="3"/>
  <c r="L15" i="3" s="1"/>
  <c r="M15" i="3" s="1"/>
  <c r="K10" i="3"/>
  <c r="L10" i="3" s="1"/>
  <c r="M10" i="3" s="1"/>
  <c r="K11" i="3"/>
  <c r="L11" i="3" s="1"/>
  <c r="M11" i="3" s="1"/>
  <c r="K6" i="3"/>
  <c r="L6" i="3" s="1"/>
  <c r="M6" i="3" s="1"/>
  <c r="K8" i="3"/>
  <c r="L8" i="3" s="1"/>
  <c r="M8" i="3" s="1"/>
  <c r="K12" i="3"/>
  <c r="L12" i="3" s="1"/>
  <c r="M12" i="3" s="1"/>
  <c r="K9" i="3"/>
  <c r="L9" i="3" s="1"/>
  <c r="M9" i="3" s="1"/>
  <c r="K7" i="3"/>
  <c r="L7" i="3" s="1"/>
  <c r="M7" i="3" s="1"/>
  <c r="K13" i="3"/>
  <c r="L13" i="3" s="1"/>
  <c r="M13" i="3" s="1"/>
  <c r="K20" i="3"/>
  <c r="L20" i="3" s="1"/>
  <c r="M20" i="3" s="1"/>
  <c r="K14" i="3"/>
  <c r="L14" i="3" s="1"/>
  <c r="M14" i="3" s="1"/>
  <c r="K18" i="3"/>
  <c r="L18" i="3" s="1"/>
  <c r="M18" i="3" s="1"/>
  <c r="B62" i="7"/>
  <c r="B18" i="9"/>
  <c r="B15" i="7"/>
  <c r="B21" i="9"/>
  <c r="D36" i="8"/>
  <c r="D42" i="8"/>
  <c r="D39" i="8"/>
  <c r="D40" i="8"/>
  <c r="D48" i="8"/>
  <c r="D43" i="8"/>
  <c r="D45" i="8"/>
  <c r="D37" i="8"/>
  <c r="D38" i="8"/>
  <c r="D41" i="8"/>
  <c r="D44" i="8"/>
  <c r="D46" i="8"/>
  <c r="D47" i="8"/>
  <c r="C39" i="6"/>
  <c r="B43" i="4" l="1"/>
  <c r="B42" i="4"/>
  <c r="B37" i="4"/>
  <c r="B38" i="4" s="1"/>
  <c r="B39" i="4" s="1"/>
  <c r="B19" i="5" s="1"/>
  <c r="M5" i="3"/>
  <c r="B24" i="5"/>
  <c r="C40" i="6"/>
  <c r="B27" i="7" s="1"/>
  <c r="E65" i="8"/>
  <c r="B4" i="5"/>
  <c r="B6" i="5" s="1"/>
  <c r="E67" i="8"/>
  <c r="E64" i="8"/>
  <c r="E66" i="8"/>
  <c r="E68" i="8"/>
  <c r="E63" i="8"/>
  <c r="B25" i="5" l="1"/>
  <c r="B26" i="5" s="1"/>
  <c r="B16" i="7"/>
  <c r="B28" i="4"/>
  <c r="B41" i="4"/>
  <c r="B40" i="4"/>
  <c r="B7" i="5"/>
  <c r="B16" i="5"/>
  <c r="B9" i="5"/>
  <c r="G18" i="6"/>
  <c r="F18" i="6"/>
  <c r="E18" i="6"/>
  <c r="R18" i="6"/>
  <c r="D18" i="6"/>
  <c r="Q18" i="6"/>
  <c r="C18" i="6"/>
  <c r="P18" i="6"/>
  <c r="O18" i="6"/>
  <c r="N18" i="6"/>
  <c r="M18" i="6"/>
  <c r="L18" i="6"/>
  <c r="K18" i="6"/>
  <c r="J18" i="6"/>
  <c r="I18" i="6"/>
  <c r="H18" i="6"/>
  <c r="M23" i="6" l="1"/>
  <c r="B33" i="9"/>
  <c r="B10" i="7"/>
  <c r="L23" i="6"/>
  <c r="K23" i="6"/>
  <c r="B59" i="8"/>
  <c r="J23" i="6"/>
  <c r="I23" i="6"/>
  <c r="H23" i="6"/>
  <c r="G23" i="6"/>
  <c r="B18" i="5"/>
  <c r="F23" i="6"/>
  <c r="B17" i="5"/>
  <c r="BR35" i="8"/>
  <c r="E23" i="6"/>
  <c r="R23" i="6"/>
  <c r="D23" i="6"/>
  <c r="Q23" i="6"/>
  <c r="C23" i="6"/>
  <c r="P23" i="6"/>
  <c r="O23" i="6"/>
  <c r="B10" i="5"/>
  <c r="N23" i="6"/>
  <c r="B11" i="5"/>
  <c r="B12" i="5" s="1"/>
  <c r="B29" i="4"/>
  <c r="BQ35" i="8"/>
  <c r="B35" i="7"/>
  <c r="M15" i="6"/>
  <c r="L15" i="6"/>
  <c r="K15" i="6"/>
  <c r="J15" i="6"/>
  <c r="I15" i="6"/>
  <c r="H15" i="6"/>
  <c r="G15" i="6"/>
  <c r="F15" i="6"/>
  <c r="E15" i="6"/>
  <c r="R15" i="6"/>
  <c r="D15" i="6"/>
  <c r="Q15" i="6"/>
  <c r="C15" i="6"/>
  <c r="P15" i="6"/>
  <c r="O15" i="6"/>
  <c r="N15" i="6"/>
  <c r="B45" i="4"/>
  <c r="B20" i="5" s="1"/>
  <c r="BT35" i="8"/>
  <c r="C47" i="6"/>
  <c r="B17" i="7"/>
  <c r="K16" i="6" l="1"/>
  <c r="J16" i="6"/>
  <c r="I16" i="6"/>
  <c r="H16" i="6"/>
  <c r="G16" i="6"/>
  <c r="F16" i="6"/>
  <c r="E16" i="6"/>
  <c r="R16" i="6"/>
  <c r="D16" i="6"/>
  <c r="Q16" i="6"/>
  <c r="C16" i="6"/>
  <c r="P16" i="6"/>
  <c r="O16" i="6"/>
  <c r="N16" i="6"/>
  <c r="M16" i="6"/>
  <c r="L16" i="6"/>
  <c r="B21" i="5"/>
  <c r="B13" i="5"/>
  <c r="B11" i="7"/>
  <c r="K24" i="6"/>
  <c r="J24" i="6"/>
  <c r="I24" i="6"/>
  <c r="H24" i="6"/>
  <c r="G24" i="6"/>
  <c r="F24" i="6"/>
  <c r="E24" i="6"/>
  <c r="R24" i="6"/>
  <c r="D24" i="6"/>
  <c r="Q24" i="6"/>
  <c r="C24" i="6"/>
  <c r="P24" i="6"/>
  <c r="O24" i="6"/>
  <c r="N24" i="6"/>
  <c r="M24" i="6"/>
  <c r="B67" i="7"/>
  <c r="L24" i="6"/>
  <c r="E19" i="6"/>
  <c r="R19" i="6"/>
  <c r="D19" i="6"/>
  <c r="Q19" i="6"/>
  <c r="C19" i="6"/>
  <c r="P19" i="6"/>
  <c r="O19" i="6"/>
  <c r="N19" i="6"/>
  <c r="M19" i="6"/>
  <c r="B36" i="7"/>
  <c r="L19" i="6"/>
  <c r="BS35" i="8"/>
  <c r="K19" i="6"/>
  <c r="J19" i="6"/>
  <c r="I19" i="6"/>
  <c r="H19" i="6"/>
  <c r="G19" i="6"/>
  <c r="F19" i="6"/>
  <c r="I17" i="6"/>
  <c r="H17" i="6"/>
  <c r="G17" i="6"/>
  <c r="F17" i="6"/>
  <c r="E17" i="6"/>
  <c r="R17" i="6"/>
  <c r="D17" i="6"/>
  <c r="Q17" i="6"/>
  <c r="C17" i="6"/>
  <c r="P17" i="6"/>
  <c r="O17" i="6"/>
  <c r="N17" i="6"/>
  <c r="M17" i="6"/>
  <c r="M20" i="6" s="1"/>
  <c r="M21" i="6" s="1"/>
  <c r="L17" i="6"/>
  <c r="K17" i="6"/>
  <c r="J17" i="6"/>
  <c r="D20" i="6" l="1"/>
  <c r="L20" i="6"/>
  <c r="L21" i="6" s="1"/>
  <c r="H20" i="6"/>
  <c r="H21" i="6" s="1"/>
  <c r="J20" i="6"/>
  <c r="J21" i="6" s="1"/>
  <c r="P20" i="6"/>
  <c r="P21" i="6" s="1"/>
  <c r="Q20" i="6"/>
  <c r="Q21" i="6" s="1"/>
  <c r="C20" i="6"/>
  <c r="C21" i="6" s="1"/>
  <c r="R20" i="6"/>
  <c r="R21" i="6" s="1"/>
  <c r="B54" i="7" s="1"/>
  <c r="E20" i="6"/>
  <c r="E21" i="6" s="1"/>
  <c r="E29" i="6" s="1"/>
  <c r="F20" i="6"/>
  <c r="F21" i="6" s="1"/>
  <c r="F29" i="6" s="1"/>
  <c r="N20" i="6"/>
  <c r="N21" i="6" s="1"/>
  <c r="O20" i="6"/>
  <c r="O21" i="6" s="1"/>
  <c r="G20" i="6"/>
  <c r="G21" i="6" s="1"/>
  <c r="K20" i="6"/>
  <c r="K21" i="6" s="1"/>
  <c r="K29" i="6" s="1"/>
  <c r="I20" i="6"/>
  <c r="I21" i="6" s="1"/>
  <c r="B12" i="7"/>
  <c r="D21" i="6"/>
  <c r="G28" i="6"/>
  <c r="F28" i="6"/>
  <c r="E28" i="6"/>
  <c r="R28" i="6"/>
  <c r="D28" i="6"/>
  <c r="Q28" i="6"/>
  <c r="Q29" i="6" s="1"/>
  <c r="C28" i="6"/>
  <c r="C53" i="6" s="1"/>
  <c r="C55" i="6" s="1"/>
  <c r="P28" i="6"/>
  <c r="O28" i="6"/>
  <c r="N28" i="6"/>
  <c r="M28" i="6"/>
  <c r="L28" i="6"/>
  <c r="K28" i="6"/>
  <c r="J28" i="6"/>
  <c r="I28" i="6"/>
  <c r="H28" i="6"/>
  <c r="H29" i="6" s="1"/>
  <c r="J29" i="6"/>
  <c r="L29" i="6" l="1"/>
  <c r="I29" i="6"/>
  <c r="O29" i="6"/>
  <c r="B63" i="7"/>
  <c r="B68" i="7" s="1"/>
  <c r="C57" i="6"/>
  <c r="D54" i="6" s="1"/>
  <c r="C56" i="6"/>
  <c r="C58" i="6" s="1"/>
  <c r="C61" i="6" s="1"/>
  <c r="M29" i="6"/>
  <c r="C29" i="6"/>
  <c r="C31" i="6" s="1"/>
  <c r="R29" i="6"/>
  <c r="P29" i="6"/>
  <c r="N29" i="6"/>
  <c r="D29" i="6"/>
  <c r="B53" i="7"/>
  <c r="G29" i="6"/>
  <c r="C33" i="6" l="1"/>
  <c r="D30" i="6" s="1"/>
  <c r="C32" i="6"/>
  <c r="C34" i="6" s="1"/>
  <c r="C36" i="6" s="1"/>
  <c r="D31" i="6"/>
  <c r="D32" i="6" s="1"/>
  <c r="D34" i="6" s="1"/>
  <c r="D36" i="6" l="1"/>
  <c r="D41" i="6"/>
  <c r="C66" i="6"/>
  <c r="D66" i="6" s="1"/>
  <c r="D33" i="6"/>
  <c r="E30" i="6" s="1"/>
  <c r="E31" i="6" l="1"/>
  <c r="E32" i="6" s="1"/>
  <c r="E34" i="6" s="1"/>
  <c r="E36" i="6" l="1"/>
  <c r="E41" i="6"/>
  <c r="E33" i="6"/>
  <c r="F30" i="6" s="1"/>
  <c r="F31" i="6" l="1"/>
  <c r="F32" i="6" s="1"/>
  <c r="F34" i="6" s="1"/>
  <c r="E66" i="6"/>
  <c r="F41" i="6" l="1"/>
  <c r="F36" i="6"/>
  <c r="F33" i="6"/>
  <c r="G30" i="6" s="1"/>
  <c r="G31" i="6" l="1"/>
  <c r="G32" i="6" s="1"/>
  <c r="G34" i="6" s="1"/>
  <c r="F66" i="6"/>
  <c r="G41" i="6" l="1"/>
  <c r="G36" i="6"/>
  <c r="G66" i="6" s="1"/>
  <c r="G33" i="6"/>
  <c r="H30" i="6" s="1"/>
  <c r="H31" i="6" l="1"/>
  <c r="H32" i="6" s="1"/>
  <c r="H34" i="6" s="1"/>
  <c r="H41" i="6" l="1"/>
  <c r="H36" i="6"/>
  <c r="H33" i="6"/>
  <c r="I30" i="6" s="1"/>
  <c r="H66" i="6" l="1"/>
  <c r="I31" i="6"/>
  <c r="I32" i="6" s="1"/>
  <c r="I34" i="6" s="1"/>
  <c r="I33" i="6" l="1"/>
  <c r="J30" i="6" s="1"/>
  <c r="I36" i="6"/>
  <c r="I66" i="6" s="1"/>
  <c r="I41" i="6"/>
  <c r="J31" i="6" l="1"/>
  <c r="J32" i="6" s="1"/>
  <c r="J34" i="6" s="1"/>
  <c r="J36" i="6" l="1"/>
  <c r="J66" i="6" s="1"/>
  <c r="J41" i="6"/>
  <c r="J33" i="6"/>
  <c r="K30" i="6" s="1"/>
  <c r="K31" i="6" l="1"/>
  <c r="K32" i="6" s="1"/>
  <c r="K34" i="6" s="1"/>
  <c r="K36" i="6" l="1"/>
  <c r="K66" i="6" s="1"/>
  <c r="K41" i="6"/>
  <c r="K33" i="6"/>
  <c r="L30" i="6" s="1"/>
  <c r="L31" i="6" l="1"/>
  <c r="L32" i="6" s="1"/>
  <c r="L34" i="6" s="1"/>
  <c r="L41" i="6" l="1"/>
  <c r="L36" i="6"/>
  <c r="L66" i="6" s="1"/>
  <c r="L33" i="6"/>
  <c r="M30" i="6" s="1"/>
  <c r="M31" i="6" l="1"/>
  <c r="M32" i="6" s="1"/>
  <c r="M34" i="6" s="1"/>
  <c r="M41" i="6" l="1"/>
  <c r="M36" i="6"/>
  <c r="M66" i="6" s="1"/>
  <c r="M33" i="6"/>
  <c r="N30" i="6" s="1"/>
  <c r="N31" i="6" l="1"/>
  <c r="N32" i="6" s="1"/>
  <c r="N34" i="6" s="1"/>
  <c r="N36" i="6" l="1"/>
  <c r="N66" i="6" s="1"/>
  <c r="N41" i="6"/>
  <c r="N33" i="6"/>
  <c r="O30" i="6" s="1"/>
  <c r="O31" i="6" l="1"/>
  <c r="O32" i="6" s="1"/>
  <c r="O34" i="6" s="1"/>
  <c r="O36" i="6" l="1"/>
  <c r="O66" i="6" s="1"/>
  <c r="O41" i="6"/>
  <c r="O33" i="6"/>
  <c r="P30" i="6" s="1"/>
  <c r="P31" i="6" l="1"/>
  <c r="P32" i="6" s="1"/>
  <c r="P34" i="6" s="1"/>
  <c r="P36" i="6" l="1"/>
  <c r="P66" i="6" s="1"/>
  <c r="P41" i="6"/>
  <c r="P33" i="6"/>
  <c r="Q30" i="6" s="1"/>
  <c r="Q31" i="6" l="1"/>
  <c r="Q32" i="6" s="1"/>
  <c r="Q34" i="6" s="1"/>
  <c r="Q41" i="6" l="1"/>
  <c r="Q36" i="6"/>
  <c r="Q66" i="6" s="1"/>
  <c r="Q33" i="6"/>
  <c r="R30" i="6" s="1"/>
  <c r="R31" i="6" l="1"/>
  <c r="R32" i="6" s="1"/>
  <c r="R34" i="6" s="1"/>
  <c r="R36" i="6" l="1"/>
  <c r="R41" i="6"/>
  <c r="C42" i="6" s="1"/>
  <c r="R33" i="6"/>
  <c r="B18" i="7" l="1"/>
  <c r="C43" i="6"/>
  <c r="B25" i="7"/>
  <c r="B51" i="7"/>
  <c r="R66" i="6"/>
  <c r="B47" i="7" s="1"/>
  <c r="B48" i="7" s="1"/>
  <c r="R50" i="6" l="1"/>
  <c r="D50" i="6"/>
  <c r="Q50" i="6"/>
  <c r="C50" i="6"/>
  <c r="C48" i="6" s="1"/>
  <c r="P50" i="6"/>
  <c r="O50" i="6"/>
  <c r="N50" i="6"/>
  <c r="M50" i="6"/>
  <c r="L50" i="6"/>
  <c r="B57" i="7"/>
  <c r="K50" i="6"/>
  <c r="J50" i="6"/>
  <c r="I50" i="6"/>
  <c r="H50" i="6"/>
  <c r="G50" i="6"/>
  <c r="F50" i="6"/>
  <c r="E50" i="6"/>
  <c r="C44" i="6"/>
  <c r="L46" i="6" l="1"/>
  <c r="K46" i="6"/>
  <c r="J46" i="6"/>
  <c r="I46" i="6"/>
  <c r="H46" i="6"/>
  <c r="G46" i="6"/>
  <c r="B19" i="7"/>
  <c r="F46" i="6"/>
  <c r="E46" i="6"/>
  <c r="R46" i="6"/>
  <c r="D46" i="6"/>
  <c r="Q46" i="6"/>
  <c r="C46" i="6"/>
  <c r="P46" i="6"/>
  <c r="O46" i="6"/>
  <c r="N46" i="6"/>
  <c r="M46" i="6"/>
  <c r="B65" i="7"/>
  <c r="B69" i="7" s="1"/>
  <c r="B20" i="7" l="1"/>
  <c r="B21" i="7"/>
  <c r="C49" i="6"/>
  <c r="D45" i="6" s="1"/>
  <c r="C64" i="6"/>
  <c r="C65" i="6" l="1"/>
  <c r="D47" i="6"/>
  <c r="D53" i="6" l="1"/>
  <c r="D55" i="6" s="1"/>
  <c r="D48" i="6"/>
  <c r="D49" i="6" s="1"/>
  <c r="E45" i="6" s="1"/>
  <c r="E47" i="6" l="1"/>
  <c r="D56" i="6"/>
  <c r="D58" i="6" s="1"/>
  <c r="D57" i="6"/>
  <c r="E54" i="6" s="1"/>
  <c r="D61" i="6" l="1"/>
  <c r="E53" i="6"/>
  <c r="E55" i="6" s="1"/>
  <c r="E56" i="6" s="1"/>
  <c r="E58" i="6" s="1"/>
  <c r="E61" i="6" s="1"/>
  <c r="E48" i="6"/>
  <c r="E49" i="6" s="1"/>
  <c r="F45" i="6" s="1"/>
  <c r="E64" i="6" l="1"/>
  <c r="E62" i="6"/>
  <c r="F47" i="6"/>
  <c r="D64" i="6"/>
  <c r="D62" i="6"/>
  <c r="E57" i="6"/>
  <c r="F54" i="6" s="1"/>
  <c r="B55" i="7" l="1"/>
  <c r="D65" i="6"/>
  <c r="F53" i="6"/>
  <c r="F55" i="6" s="1"/>
  <c r="F56" i="6" s="1"/>
  <c r="F58" i="6" s="1"/>
  <c r="F48" i="6"/>
  <c r="F49" i="6" s="1"/>
  <c r="G45" i="6" s="1"/>
  <c r="G47" i="6" l="1"/>
  <c r="E65" i="6"/>
  <c r="F61" i="6"/>
  <c r="F57" i="6"/>
  <c r="G54" i="6" s="1"/>
  <c r="F64" i="6" l="1"/>
  <c r="F65" i="6" s="1"/>
  <c r="F62" i="6"/>
  <c r="G53" i="6"/>
  <c r="G55" i="6" s="1"/>
  <c r="G56" i="6" s="1"/>
  <c r="G58" i="6" s="1"/>
  <c r="G48" i="6"/>
  <c r="G49" i="6" s="1"/>
  <c r="H45" i="6" s="1"/>
  <c r="H47" i="6" l="1"/>
  <c r="G61" i="6"/>
  <c r="G57" i="6"/>
  <c r="H54" i="6" s="1"/>
  <c r="G64" i="6" l="1"/>
  <c r="G62" i="6"/>
  <c r="H53" i="6"/>
  <c r="H55" i="6" s="1"/>
  <c r="H56" i="6" s="1"/>
  <c r="H58" i="6" s="1"/>
  <c r="H48" i="6"/>
  <c r="H49" i="6" s="1"/>
  <c r="I45" i="6" s="1"/>
  <c r="I47" i="6" l="1"/>
  <c r="G65" i="6"/>
  <c r="H61" i="6"/>
  <c r="H57" i="6"/>
  <c r="I54" i="6" s="1"/>
  <c r="H64" i="6" l="1"/>
  <c r="H62" i="6"/>
  <c r="H65" i="6"/>
  <c r="I53" i="6"/>
  <c r="I55" i="6" s="1"/>
  <c r="I56" i="6" s="1"/>
  <c r="I58" i="6" s="1"/>
  <c r="I61" i="6" s="1"/>
  <c r="I48" i="6"/>
  <c r="I49" i="6" s="1"/>
  <c r="J45" i="6" s="1"/>
  <c r="I64" i="6" l="1"/>
  <c r="I62" i="6"/>
  <c r="J47" i="6"/>
  <c r="I65" i="6"/>
  <c r="I57" i="6"/>
  <c r="J54" i="6" s="1"/>
  <c r="B45" i="7" l="1"/>
  <c r="B46" i="7" s="1"/>
  <c r="J53" i="6"/>
  <c r="J55" i="6" s="1"/>
  <c r="J56" i="6" s="1"/>
  <c r="J58" i="6" s="1"/>
  <c r="J61" i="6" s="1"/>
  <c r="J48" i="6"/>
  <c r="J49" i="6" s="1"/>
  <c r="K45" i="6" s="1"/>
  <c r="K47" i="6" l="1"/>
  <c r="J64" i="6"/>
  <c r="J65" i="6" s="1"/>
  <c r="J62" i="6"/>
  <c r="J57" i="6"/>
  <c r="K54" i="6" s="1"/>
  <c r="K53" i="6" l="1"/>
  <c r="K55" i="6" s="1"/>
  <c r="K56" i="6" s="1"/>
  <c r="K58" i="6" s="1"/>
  <c r="K61" i="6" s="1"/>
  <c r="K48" i="6"/>
  <c r="K49" i="6" s="1"/>
  <c r="L45" i="6" s="1"/>
  <c r="L47" i="6" l="1"/>
  <c r="K64" i="6"/>
  <c r="K65" i="6" s="1"/>
  <c r="K62" i="6"/>
  <c r="K57" i="6"/>
  <c r="L54" i="6" s="1"/>
  <c r="L53" i="6" l="1"/>
  <c r="L55" i="6" s="1"/>
  <c r="L56" i="6" s="1"/>
  <c r="L58" i="6" s="1"/>
  <c r="L61" i="6" s="1"/>
  <c r="L48" i="6"/>
  <c r="L49" i="6" s="1"/>
  <c r="M45" i="6" s="1"/>
  <c r="M47" i="6" l="1"/>
  <c r="L64" i="6"/>
  <c r="L65" i="6" s="1"/>
  <c r="L62" i="6"/>
  <c r="L57" i="6"/>
  <c r="M54" i="6" s="1"/>
  <c r="M53" i="6" l="1"/>
  <c r="M55" i="6" s="1"/>
  <c r="M56" i="6" s="1"/>
  <c r="M58" i="6" s="1"/>
  <c r="M61" i="6" s="1"/>
  <c r="M48" i="6"/>
  <c r="M49" i="6" s="1"/>
  <c r="N45" i="6" s="1"/>
  <c r="N47" i="6" l="1"/>
  <c r="M64" i="6"/>
  <c r="M65" i="6" s="1"/>
  <c r="M62" i="6"/>
  <c r="M57" i="6"/>
  <c r="N54" i="6" s="1"/>
  <c r="N53" i="6" l="1"/>
  <c r="N55" i="6" s="1"/>
  <c r="N56" i="6" s="1"/>
  <c r="N58" i="6" s="1"/>
  <c r="N61" i="6" s="1"/>
  <c r="N48" i="6"/>
  <c r="N49" i="6" s="1"/>
  <c r="O45" i="6" s="1"/>
  <c r="O47" i="6" l="1"/>
  <c r="N64" i="6"/>
  <c r="N65" i="6" s="1"/>
  <c r="N62" i="6"/>
  <c r="N57" i="6"/>
  <c r="O54" i="6" s="1"/>
  <c r="O53" i="6" l="1"/>
  <c r="O55" i="6" s="1"/>
  <c r="O56" i="6" s="1"/>
  <c r="O58" i="6" s="1"/>
  <c r="O61" i="6" s="1"/>
  <c r="O48" i="6"/>
  <c r="O49" i="6" s="1"/>
  <c r="P45" i="6" s="1"/>
  <c r="P47" i="6" l="1"/>
  <c r="O64" i="6"/>
  <c r="O65" i="6" s="1"/>
  <c r="O62" i="6"/>
  <c r="O57" i="6"/>
  <c r="P54" i="6" s="1"/>
  <c r="P53" i="6" l="1"/>
  <c r="P55" i="6" s="1"/>
  <c r="P56" i="6" s="1"/>
  <c r="P58" i="6" s="1"/>
  <c r="P61" i="6" s="1"/>
  <c r="P48" i="6"/>
  <c r="P49" i="6" s="1"/>
  <c r="Q45" i="6" s="1"/>
  <c r="Q47" i="6" l="1"/>
  <c r="P62" i="6"/>
  <c r="P64" i="6"/>
  <c r="P65" i="6" s="1"/>
  <c r="P57" i="6"/>
  <c r="Q54" i="6" s="1"/>
  <c r="Q53" i="6" l="1"/>
  <c r="Q55" i="6" s="1"/>
  <c r="Q56" i="6" s="1"/>
  <c r="Q58" i="6" s="1"/>
  <c r="Q61" i="6" s="1"/>
  <c r="Q48" i="6"/>
  <c r="Q49" i="6" s="1"/>
  <c r="R45" i="6" s="1"/>
  <c r="R47" i="6" l="1"/>
  <c r="Q64" i="6"/>
  <c r="Q65" i="6" s="1"/>
  <c r="Q62" i="6"/>
  <c r="Q57" i="6"/>
  <c r="R54" i="6" s="1"/>
  <c r="R53" i="6" l="1"/>
  <c r="R55" i="6" s="1"/>
  <c r="R56" i="6" s="1"/>
  <c r="R58" i="6" s="1"/>
  <c r="R48" i="6"/>
  <c r="R49" i="6" s="1"/>
  <c r="R61" i="6" l="1"/>
  <c r="B49" i="7"/>
  <c r="B50" i="7" s="1"/>
  <c r="B64" i="7"/>
  <c r="B70" i="7" s="1"/>
  <c r="R57" i="6"/>
  <c r="R64" i="6" l="1"/>
  <c r="R62" i="6"/>
  <c r="B56" i="7" l="1"/>
  <c r="B26" i="7"/>
  <c r="B44" i="7"/>
  <c r="B66" i="7"/>
  <c r="B71" i="7" s="1"/>
  <c r="B24" i="7"/>
  <c r="B23" i="7"/>
  <c r="R65" i="6"/>
  <c r="J62" i="8" l="1"/>
  <c r="J35" i="8"/>
  <c r="B41" i="7"/>
  <c r="C41" i="7" s="1"/>
  <c r="B40" i="7"/>
  <c r="C40" i="7" s="1"/>
  <c r="B39" i="7"/>
  <c r="C39" i="7" s="1"/>
</calcChain>
</file>

<file path=xl/sharedStrings.xml><?xml version="1.0" encoding="utf-8"?>
<sst xmlns="http://schemas.openxmlformats.org/spreadsheetml/2006/main" count="876" uniqueCount="560">
  <si>
    <t>Project</t>
  </si>
  <si>
    <t>Basis</t>
  </si>
  <si>
    <t>Signs</t>
  </si>
  <si>
    <t>Inflows positive (+), outflows negative (-). 
DSCR = CFADS ÷ |debt service|.</t>
  </si>
  <si>
    <t>Colours</t>
  </si>
  <si>
    <t>Orange fill = input; green fill = link to Inputs; yellow fill = key result; no fill = formula.</t>
  </si>
  <si>
    <t>Sheets</t>
  </si>
  <si>
    <t>Goal Seek</t>
  </si>
  <si>
    <t>Sensitivity</t>
  </si>
  <si>
    <t>Traceability</t>
  </si>
  <si>
    <t>INPUTS AND SOURCES</t>
  </si>
  <si>
    <t>Parameter</t>
  </si>
  <si>
    <t>Value</t>
  </si>
  <si>
    <t>Unit</t>
  </si>
  <si>
    <t>Evidence</t>
  </si>
  <si>
    <t>Source</t>
  </si>
  <si>
    <t>A. Timing and model basis</t>
  </si>
  <si>
    <t>Construction year (Year 0 = Jun 2028 – May 2029)</t>
  </si>
  <si>
    <t>year</t>
  </si>
  <si>
    <t>Own design choice</t>
  </si>
  <si>
    <t>Contract term = operating life</t>
  </si>
  <si>
    <t>years</t>
  </si>
  <si>
    <t>Inflation / cost escalation</t>
  </si>
  <si>
    <t>%/year</t>
  </si>
  <si>
    <t>Sourced</t>
  </si>
  <si>
    <t>Dollar year of NREL cost inputs</t>
  </si>
  <si>
    <t>Dollar year of charging price</t>
  </si>
  <si>
    <t>B. Customer load, PJM capacity requirement and battery performance</t>
  </si>
  <si>
    <t>New Large Load of the customer</t>
  </si>
  <si>
    <t>MW</t>
  </si>
  <si>
    <t>Forecast Pool Requirement, 2029/30</t>
  </si>
  <si>
    <t>ratio</t>
  </si>
  <si>
    <t>Demand Resource accreditation, first delivery year 2029/30</t>
  </si>
  <si>
    <t>%</t>
  </si>
  <si>
    <t>Sourced; applied beyond its basis</t>
  </si>
  <si>
    <t>10-hour storage accreditation, 2029/30 (rating comparison)</t>
  </si>
  <si>
    <t>Data center PUE (industry weighted average)</t>
  </si>
  <si>
    <t>Round-trip efficiency (AC, incl. auxiliary cooling)</t>
  </si>
  <si>
    <t>C. Capital cost and tax credit</t>
  </si>
  <si>
    <t>Energy-related installed cost (2024$)</t>
  </si>
  <si>
    <t>$/kWh</t>
  </si>
  <si>
    <t>Power-related installed cost (2024$)</t>
  </si>
  <si>
    <t>$/kW</t>
  </si>
  <si>
    <t>Investment tax credit rate</t>
  </si>
  <si>
    <t>Tax credit value when sold</t>
  </si>
  <si>
    <t>$ per $1 credit</t>
  </si>
  <si>
    <t>Depreciable basis reduction per $1 of credit</t>
  </si>
  <si>
    <t>$ per $1</t>
  </si>
  <si>
    <t>D. Operating cost</t>
  </si>
  <si>
    <t>Fixed O&amp;M incl. augmentation</t>
  </si>
  <si>
    <t>% of NREL capital cost per yr</t>
  </si>
  <si>
    <t>Insurance</t>
  </si>
  <si>
    <t>% of CAPEX per year</t>
  </si>
  <si>
    <t>Property tax</t>
  </si>
  <si>
    <t>Charging energy price (2025$)</t>
  </si>
  <si>
    <t>$/MWh</t>
  </si>
  <si>
    <t>Sourced; held constant by judgment</t>
  </si>
  <si>
    <t>E. Revenue</t>
  </si>
  <si>
    <t>$/kW-month</t>
  </si>
  <si>
    <t>Model output</t>
  </si>
  <si>
    <t>Fee escalation</t>
  </si>
  <si>
    <t>Capacity price proxy (2029/30 RPM price cap)</t>
  </si>
  <si>
    <t>$/MW-day UCAP</t>
  </si>
  <si>
    <t>Capacity price escalation</t>
  </si>
  <si>
    <t>%/year nominal</t>
  </si>
  <si>
    <t>F. Customer value benchmark</t>
  </si>
  <si>
    <t>Northern Virginia colocation asking rate (low end)</t>
  </si>
  <si>
    <t>Sourced; point chosen from a range</t>
  </si>
  <si>
    <t>G. Tax</t>
  </si>
  <si>
    <t>Federal corporate income tax</t>
  </si>
  <si>
    <t>26 U.S.C. §11(b).</t>
  </si>
  <si>
    <t>Virginia corporate income tax</t>
  </si>
  <si>
    <t>Va. Code Ann. §58.1-400.</t>
  </si>
  <si>
    <t>Loss carryforward limit</t>
  </si>
  <si>
    <t>% of taxable income</t>
  </si>
  <si>
    <t>MACRS 5-year rate, tax year 1</t>
  </si>
  <si>
    <t>% of basis</t>
  </si>
  <si>
    <t>MACRS 5-year rate, tax year 2</t>
  </si>
  <si>
    <t>MACRS 5-year rate, tax year 3</t>
  </si>
  <si>
    <t>MACRS 5-year rate, tax year 4</t>
  </si>
  <si>
    <t>MACRS 5-year rate, tax year 5</t>
  </si>
  <si>
    <t>MACRS 5-year rate, tax year 6</t>
  </si>
  <si>
    <t>H. Financing</t>
  </si>
  <si>
    <t>Base rate: 10-year U.S. Treasury yield (3 Sep 2026)</t>
  </si>
  <si>
    <t>Term-debt margin (middle of fairway)</t>
  </si>
  <si>
    <t>Battery storage premium</t>
  </si>
  <si>
    <t>Uncontracted revenue share, first premium step</t>
  </si>
  <si>
    <t>% of revenue</t>
  </si>
  <si>
    <t>Premium at the first step</t>
  </si>
  <si>
    <t>Same source.</t>
  </si>
  <si>
    <t>Uncontracted revenue share, second premium step</t>
  </si>
  <si>
    <t>Additional premium at the second step</t>
  </si>
  <si>
    <t>Debt tenor</t>
  </si>
  <si>
    <t>Minimum DSCR, contracted storage revenue</t>
  </si>
  <si>
    <t>x</t>
  </si>
  <si>
    <t>Minimum DSCR, merchant storage revenue</t>
  </si>
  <si>
    <t>Target equity IRR (cost of equity)</t>
  </si>
  <si>
    <t>I. Design duration, dispatch record and PJM performance charges</t>
  </si>
  <si>
    <t>Design duration (battery energy ÷ power)</t>
  </si>
  <si>
    <t>h</t>
  </si>
  <si>
    <t>Length of the event record</t>
  </si>
  <si>
    <t>Battery forced-outage rate in event hours</t>
  </si>
  <si>
    <t>Net CONE, RTO, 2029/30 (installed capacity)</t>
  </si>
  <si>
    <t>$/MW-day</t>
  </si>
  <si>
    <t>Charge on non-PAI shortfalls, share of full rate</t>
  </si>
  <si>
    <t>J. PJM Demand Resource accreditation by delivery year (drives capacity revenue)</t>
  </si>
  <si>
    <t>Demand Resource ELCC class rating, 2029/30</t>
  </si>
  <si>
    <t>Demand Resource ELCC class rating, 2030/31</t>
  </si>
  <si>
    <t>Indicative (PJM preliminary, non-binding)</t>
  </si>
  <si>
    <t>Demand Resource ELCC class rating, 2031/32</t>
  </si>
  <si>
    <t>Demand Resource ELCC class rating, 2032/33</t>
  </si>
  <si>
    <t>Demand Resource ELCC class rating, 2033/34</t>
  </si>
  <si>
    <t>Demand Resource ELCC class rating, 2034/35</t>
  </si>
  <si>
    <t>Demand Resource ELCC class rating, 2035/36</t>
  </si>
  <si>
    <t>Demand Resource ELCC class rating, 2036/37</t>
  </si>
  <si>
    <t>Demand Resource ELCC class rating, 2037/38</t>
  </si>
  <si>
    <t>Demand Resource ELCC class rating, 2038/39</t>
  </si>
  <si>
    <t>Demand Resource ELCC class rating, 2039/40</t>
  </si>
  <si>
    <t>Demand Resource ELCC class rating, 2040/41</t>
  </si>
  <si>
    <t>Demand Resource ELCC class rating, 2041/42</t>
  </si>
  <si>
    <t>Demand Resource ELCC class rating, 2042/43</t>
  </si>
  <si>
    <t>Demand Resource ELCC class rating, 2043/44</t>
  </si>
  <si>
    <t>Held at last published value (judgment)</t>
  </si>
  <si>
    <t>NREL normalized installed-cost factor, construction year 2028 (mid projection)</t>
  </si>
  <si>
    <t>× 2024 cost</t>
  </si>
  <si>
    <t>Capacity price floor, 2029/30 RPM auctions</t>
  </si>
  <si>
    <t>Simulated uncollared capacity price (2028/29 BRA)</t>
  </si>
  <si>
    <t>RBP maximum MW-weighted average procurement cost</t>
  </si>
  <si>
    <t>Fixed O&amp;M under NREL's literal 4-hour definition</t>
  </si>
  <si>
    <t>Sourced; derived</t>
  </si>
  <si>
    <t>NREL cost factor, 2028 low projection</t>
  </si>
  <si>
    <t>NREL (2025) Table 2.</t>
  </si>
  <si>
    <t>NREL cost factor, 2028 high projection</t>
  </si>
  <si>
    <t>Investment tax credit without wage and apprenticeship rules</t>
  </si>
  <si>
    <t>PJM Demand-Response Dispatch Days in the Dominion Zone
1 Jan 2017 – 21 Sep 2026</t>
  </si>
  <si>
    <t>Date</t>
  </si>
  <si>
    <t>Event (highest action)</t>
  </si>
  <si>
    <t>Zones</t>
  </si>
  <si>
    <t>Cuts due</t>
  </si>
  <si>
    <t>Release</t>
  </si>
  <si>
    <t>Hours</t>
  </si>
  <si>
    <t>PAI (1 = yes)</t>
  </si>
  <si>
    <t>Winter (Nov–Apr)</t>
  </si>
  <si>
    <t>PJM postings</t>
  </si>
  <si>
    <t>Follows a dispatch day (1/0)</t>
  </si>
  <si>
    <t>Energy available at start (MWh)</t>
  </si>
  <si>
    <t>Energy delivered (MWh)</t>
  </si>
  <si>
    <t>Energy due but not delivered (MWh)</t>
  </si>
  <si>
    <t>Pre-Emergency DR; PAI</t>
  </si>
  <si>
    <t>AEP, BGE, DOM, PEPCO</t>
  </si>
  <si>
    <t>EP 102663</t>
  </si>
  <si>
    <t>Winter Storm Elliott: Pre-Emergency and Emergency DR, EEA2; PAI</t>
  </si>
  <si>
    <t>PJM-wide</t>
  </si>
  <si>
    <t>EP 103783–103790</t>
  </si>
  <si>
    <t>Winter Storm Elliott: all DR, EEA2, Max Gen Emergency Action; PAI</t>
  </si>
  <si>
    <t>EP 103798–103808</t>
  </si>
  <si>
    <t>Pre-Emergency DR</t>
  </si>
  <si>
    <t>DOM Ashburn subzone</t>
  </si>
  <si>
    <t>EP 104514</t>
  </si>
  <si>
    <t>Mid-Atlantic and DOM</t>
  </si>
  <si>
    <t>EP 104654–104655</t>
  </si>
  <si>
    <t>PJM-wide (19 zones)</t>
  </si>
  <si>
    <t>EP 104668–104669</t>
  </si>
  <si>
    <t>Mid-Atlantic, DOM, APS</t>
  </si>
  <si>
    <t>EP 104686–104687</t>
  </si>
  <si>
    <t>BGE, DOM, PEPCO</t>
  </si>
  <si>
    <t>EP 104744</t>
  </si>
  <si>
    <t>EP 104748</t>
  </si>
  <si>
    <t>Pre-Emergency DR (Winter Storm Fern)</t>
  </si>
  <si>
    <t>EP 104978–104980</t>
  </si>
  <si>
    <t>EP 105094–105098</t>
  </si>
  <si>
    <t>EP 105113–105117</t>
  </si>
  <si>
    <t>Pre-Emergency and Emergency DR, EEA2</t>
  </si>
  <si>
    <t>EP 105291–105311</t>
  </si>
  <si>
    <t>EP 105334–105340</t>
  </si>
  <si>
    <t>AEP, BGE, COMED, DOM, PEPCO</t>
  </si>
  <si>
    <t>EP 105472</t>
  </si>
  <si>
    <t>10 zones incl. DOM</t>
  </si>
  <si>
    <t>EP 105532–105533</t>
  </si>
  <si>
    <t>Technical Model</t>
  </si>
  <si>
    <t>Forecast Pool Requirement</t>
  </si>
  <si>
    <t>BYONC requirement = load × FPR</t>
  </si>
  <si>
    <t>MW UCAP</t>
  </si>
  <si>
    <t>Battery power = new load (no export)</t>
  </si>
  <si>
    <t>Accreditation, first delivery year (Demand Resource)</t>
  </si>
  <si>
    <t>Accredited capacity (UCAP), first delivery year</t>
  </si>
  <si>
    <t>Share of BYONC requirement covered</t>
  </si>
  <si>
    <t>BYONC shortfall = requirement − accredited capacity</t>
  </si>
  <si>
    <t>Accredited capacity if rated as 10-hour storage</t>
  </si>
  <si>
    <t>Share of requirement covered at the storage rating</t>
  </si>
  <si>
    <t>Shortfall at the storage rating</t>
  </si>
  <si>
    <t>IT load protected by the service</t>
  </si>
  <si>
    <t>MW IT</t>
  </si>
  <si>
    <t>Years in record</t>
  </si>
  <si>
    <t>Demand-response days</t>
  </si>
  <si>
    <t>days</t>
  </si>
  <si>
    <t>Reduction hours in record</t>
  </si>
  <si>
    <t>hours</t>
  </si>
  <si>
    <t>Average reduction hours per year</t>
  </si>
  <si>
    <t>hours/year</t>
  </si>
  <si>
    <t>Winter days (November–April)</t>
  </si>
  <si>
    <t>Longest event</t>
  </si>
  <si>
    <t>3. Sizing</t>
  </si>
  <si>
    <t>Design duration in use</t>
  </si>
  <si>
    <t>Demand-response days fully covered</t>
  </si>
  <si>
    <t>Share of days fully covered</t>
  </si>
  <si>
    <t>Battery power</t>
  </si>
  <si>
    <t>Usable energy = power × duration</t>
  </si>
  <si>
    <t>MWh</t>
  </si>
  <si>
    <t>Battery power (kW)</t>
  </si>
  <si>
    <t>kW</t>
  </si>
  <si>
    <t>Usable energy (kWh)</t>
  </si>
  <si>
    <t>kWh</t>
  </si>
  <si>
    <t>Customer load under contract (kW)</t>
  </si>
  <si>
    <t>Energy delivered per year</t>
  </si>
  <si>
    <t>MWh/year</t>
  </si>
  <si>
    <t>Charging energy to restore it</t>
  </si>
  <si>
    <t>Round-trip losses</t>
  </si>
  <si>
    <t>Energy due but not delivered, PAI days</t>
  </si>
  <si>
    <t>Energy due but not delivered, other dispatch days</t>
  </si>
  <si>
    <t>Expected outage shortfall, PAI days</t>
  </si>
  <si>
    <t>Expected outage shortfall, other dispatch days</t>
  </si>
  <si>
    <t>Non-performance charge rate = Net CONE × 365 ÷ 30</t>
  </si>
  <si>
    <t>Expected PJM performance charges</t>
  </si>
  <si>
    <t>$M/year</t>
  </si>
  <si>
    <t>COSTS</t>
  </si>
  <si>
    <t>Capital cost</t>
  </si>
  <si>
    <t>(+) Energy component at the construction-year cost level (2024$)</t>
  </si>
  <si>
    <t>$M</t>
  </si>
  <si>
    <t>(+) Power component at the construction-year cost level (2024$)</t>
  </si>
  <si>
    <t>(=) NREL installed cost at the 2028 projection (2024$)</t>
  </si>
  <si>
    <t>Implied cost per usable kWh (2024$)</t>
  </si>
  <si>
    <t>(×) Escalation factor, 2024 → construction year</t>
  </si>
  <si>
    <t>(=) Total CAPEX, construction-year dollars (Year 0)</t>
  </si>
  <si>
    <t>Total CAPEX per kW</t>
  </si>
  <si>
    <t>Investment tax credit</t>
  </si>
  <si>
    <t>ITC cash proceeds (Year 1)</t>
  </si>
  <si>
    <t>Depreciable tax basis</t>
  </si>
  <si>
    <t>Operating cost (Year 1 = first operating year, 2029/30)</t>
  </si>
  <si>
    <t>(+) Fixed O&amp;M incl. augmentation, Year 1</t>
  </si>
  <si>
    <t>(+) Property tax</t>
  </si>
  <si>
    <t>(+) Insurance</t>
  </si>
  <si>
    <t>(+) Charging losses, Year 1</t>
  </si>
  <si>
    <t>(+) Expected PJM performance charges</t>
  </si>
  <si>
    <t>(=) Operating cost, Year 1</t>
  </si>
  <si>
    <t>Tax and financing rates</t>
  </si>
  <si>
    <t>Combined income tax rate</t>
  </si>
  <si>
    <t>Uncontracted (capacity) share of Year-1 revenue</t>
  </si>
  <si>
    <t>Merchant-revenue spread premium</t>
  </si>
  <si>
    <t>(=) All-in debt interest rate</t>
  </si>
  <si>
    <t>Cash Flow</t>
  </si>
  <si>
    <t>Year index</t>
  </si>
  <si>
    <t>PJM delivery year (June–May)</t>
  </si>
  <si>
    <t>Operating flag</t>
  </si>
  <si>
    <t>1/0</t>
  </si>
  <si>
    <t>Debt service flag</t>
  </si>
  <si>
    <t>Revenue</t>
  </si>
  <si>
    <t>Customer load under contract</t>
  </si>
  <si>
    <t>(+) Availability fee revenue</t>
  </si>
  <si>
    <t>Operating cost</t>
  </si>
  <si>
    <t>(−) Fixed O&amp;M incl. augmentation</t>
  </si>
  <si>
    <t>(−) Property tax</t>
  </si>
  <si>
    <t>(−) Insurance</t>
  </si>
  <si>
    <t>(−) Charging losses</t>
  </si>
  <si>
    <t>(−) Expected PJM performance charges</t>
  </si>
  <si>
    <t>(=) Total operating cost</t>
  </si>
  <si>
    <t>Capital and incentives</t>
  </si>
  <si>
    <t>(−) CAPEX</t>
  </si>
  <si>
    <t>(+) ITC cash proceeds</t>
  </si>
  <si>
    <t>MACRS rate</t>
  </si>
  <si>
    <t>Loss carryforward, opening</t>
  </si>
  <si>
    <t>(=) Taxable income after losses</t>
  </si>
  <si>
    <t>(−) Unlevered income tax</t>
  </si>
  <si>
    <t>Contracted (fee) share of Year-1 revenue</t>
  </si>
  <si>
    <t>Minimum sizing CFADS</t>
  </si>
  <si>
    <t>Opening balance</t>
  </si>
  <si>
    <t>(+) Debt draw</t>
  </si>
  <si>
    <t>(−) Interest</t>
  </si>
  <si>
    <t>Closing balance</t>
  </si>
  <si>
    <t>(−) Levered income tax</t>
  </si>
  <si>
    <t>Coverage and equity</t>
  </si>
  <si>
    <t>Cumulative equity cash flow</t>
  </si>
  <si>
    <t>Cumulative project cash flow</t>
  </si>
  <si>
    <t>RESULTS</t>
  </si>
  <si>
    <t>Configuration and output</t>
  </si>
  <si>
    <t>Usable energy</t>
  </si>
  <si>
    <t>Accredited capacity (UCAP)</t>
  </si>
  <si>
    <t>Costs, revenue and funding</t>
  </si>
  <si>
    <t>Minimum battery service fee (solved)</t>
  </si>
  <si>
    <t>Total CAPEX</t>
  </si>
  <si>
    <t>ITC cash proceeds</t>
  </si>
  <si>
    <t>Operating cost, Year 1</t>
  </si>
  <si>
    <t>Fee revenue, Year 1</t>
  </si>
  <si>
    <t>Capacity revenue, Year 1</t>
  </si>
  <si>
    <t>Total revenue, Year 1</t>
  </si>
  <si>
    <t>Capacity (uncontracted) share of Year-1 revenue</t>
  </si>
  <si>
    <t>All-in debt interest rate</t>
  </si>
  <si>
    <t>Debt raised</t>
  </si>
  <si>
    <t>Gearing (debt ÷ CAPEX)</t>
  </si>
  <si>
    <t>Financial performance</t>
  </si>
  <si>
    <t>Equity NPV at target equity return</t>
  </si>
  <si>
    <t>Equity IRR</t>
  </si>
  <si>
    <t>Project IRR (unlevered, after tax)</t>
  </si>
  <si>
    <t>Minimum DSCR</t>
  </si>
  <si>
    <t>Blended DSCR target</t>
  </si>
  <si>
    <t>Customer value</t>
  </si>
  <si>
    <t>Colocation rent of that IT capacity</t>
  </si>
  <si>
    <t>Year-1 fee as share of that rent</t>
  </si>
  <si>
    <t>Design basis and PJM performance risk</t>
  </si>
  <si>
    <t>Design duration</t>
  </si>
  <si>
    <t>Dominion demand-response days fully covered</t>
  </si>
  <si>
    <t>Additional metrics</t>
  </si>
  <si>
    <t>Average DSCR</t>
  </si>
  <si>
    <t>Equity payback, operating year</t>
  </si>
  <si>
    <t>Equity payback, delivery year</t>
  </si>
  <si>
    <t>Project payback, operating year</t>
  </si>
  <si>
    <t>Project payback, delivery year</t>
  </si>
  <si>
    <t>First year with income tax, operating year</t>
  </si>
  <si>
    <t>First year with income tax, delivery year</t>
  </si>
  <si>
    <t>Project NPV at the debt rate</t>
  </si>
  <si>
    <t>Fee per accredited MW-day</t>
  </si>
  <si>
    <t>EBITDA margin, Year 1</t>
  </si>
  <si>
    <t>EBITDA margin, Year 15</t>
  </si>
  <si>
    <t>DSCR, Year 1</t>
  </si>
  <si>
    <t>DSCR, Year 15</t>
  </si>
  <si>
    <t>Level annual debt service</t>
  </si>
  <si>
    <t>15-year totals (Years 1–15)</t>
  </si>
  <si>
    <t>Fee revenue</t>
  </si>
  <si>
    <t>Capacity revenue</t>
  </si>
  <si>
    <t>Total revenue</t>
  </si>
  <si>
    <t>Income tax</t>
  </si>
  <si>
    <t>Debt service</t>
  </si>
  <si>
    <t>Cash to equity from operations (excl. tax credit)</t>
  </si>
  <si>
    <t>Tax credit proceeds</t>
  </si>
  <si>
    <t>Share of revenue: operating cost</t>
  </si>
  <si>
    <t>Share of revenue: debt service</t>
  </si>
  <si>
    <t>Share of revenue: income tax</t>
  </si>
  <si>
    <t>Share of revenue: cash to equity</t>
  </si>
  <si>
    <t>Case number (blank = base case)</t>
  </si>
  <si>
    <t>Trial fee, $/kW-month (blank = solved fee on Inputs)</t>
  </si>
  <si>
    <t>NREL cost factor in use</t>
  </si>
  <si>
    <t>Capacity price in use ($/MW-day)</t>
  </si>
  <si>
    <t>Fixed O&amp;M rate in use (% of cost)</t>
  </si>
  <si>
    <t>Design duration in use (h)</t>
  </si>
  <si>
    <t>Fee in use ($/kW-month)</t>
  </si>
  <si>
    <t>Tax-credit rate in use</t>
  </si>
  <si>
    <t>Treasury base rate in use</t>
  </si>
  <si>
    <t>Overnight recharge between consecutive dispatch days (1 = yes)</t>
  </si>
  <si>
    <t>NREL cost factor override (blank; used only by the threshold Data Table)</t>
  </si>
  <si>
    <t>Cases</t>
  </si>
  <si>
    <t>NREL cost factor</t>
  </si>
  <si>
    <t>Capacity price ($/MW-day)</t>
  </si>
  <si>
    <t>Fixed O&amp;M (% of cost)</t>
  </si>
  <si>
    <t>Duration (h)</t>
  </si>
  <si>
    <t>Tax-credit rate</t>
  </si>
  <si>
    <t>Treasury base rate</t>
  </si>
  <si>
    <t>Overnight recharge (1/0)</t>
  </si>
  <si>
    <t>Minimum fee and outputs by case</t>
  </si>
  <si>
    <t>Data Table 1: equity NPV at 12% ($M) by case (rows) and trial fee (columns)</t>
  </si>
  <si>
    <t>Data Table 3: case outputs</t>
  </si>
  <si>
    <t>Minimum fee ($/kW-month)</t>
  </si>
  <si>
    <t>Change vs base</t>
  </si>
  <si>
    <t>Fee share of rent</t>
  </si>
  <si>
    <t>Days covered (of 16)</t>
  </si>
  <si>
    <t>CAPEX ($M)</t>
  </si>
  <si>
    <t>PJM charges ($M/yr)</t>
  </si>
  <si>
    <t>Helper</t>
  </si>
  <si>
    <t>Input and range</t>
  </si>
  <si>
    <t>Fee, low input</t>
  </si>
  <si>
    <t>Fee, high input</t>
  </si>
  <si>
    <t>Difference</t>
  </si>
  <si>
    <t>Installed cost: NREL 2028 low / high (0.69 / 1.08)</t>
  </si>
  <si>
    <t>Capacity price: $181.91 floor / $554.72 uncollared</t>
  </si>
  <si>
    <t>Fixed O&amp;M: NREL literal 1.92% / base 4%</t>
  </si>
  <si>
    <t>Thresholds</t>
  </si>
  <si>
    <t>Minimum fee for a 12% equity return (base case)</t>
  </si>
  <si>
    <t>Fee change per 10% of base CAPEX</t>
  </si>
  <si>
    <t>Base CAPEX ($M)</t>
  </si>
  <si>
    <t>Data Table 2: equity NPV at 12% ($M) by fee ceiling (rows) and NREL cost factor (columns)</t>
  </si>
  <si>
    <t>Customer's maximum fee ($/kW-month)</t>
  </si>
  <si>
    <t>Maximum NREL cost factor</t>
  </si>
  <si>
    <t>CAPEX change vs base</t>
  </si>
  <si>
    <t>Maximum CAPEX ($M)</t>
  </si>
  <si>
    <t>Round-number test</t>
  </si>
  <si>
    <t>RBP route, auction price $0</t>
  </si>
  <si>
    <t>RBP route, 2029/30 floor</t>
  </si>
  <si>
    <t>RBP route, 2029/30 cap</t>
  </si>
  <si>
    <t>CUSTOMER-SIDE BENCHMARKS</t>
  </si>
  <si>
    <t>RBP maximum average procurement cost</t>
  </si>
  <si>
    <t>Customer's capacity share per kW of load (FPR 2029/30)</t>
  </si>
  <si>
    <t>MW UCAP per MW</t>
  </si>
  <si>
    <t>Auction price: 2029/30 cap (base)</t>
  </si>
  <si>
    <t>Auction price: 2029/30 floor</t>
  </si>
  <si>
    <t>Auction price: zero (bound)</t>
  </si>
  <si>
    <t>RBP charge at the 2029/30 cap</t>
  </si>
  <si>
    <t>$/kW-month of load</t>
  </si>
  <si>
    <t>RBP charge at the 2029/30 floor</t>
  </si>
  <si>
    <t>RBP charge if the auction price were zero</t>
  </si>
  <si>
    <t>Minimum battery fee</t>
  </si>
  <si>
    <t>Fee ÷ RBP charge at zero auction price</t>
  </si>
  <si>
    <t>Fee ÷ RBP charge at the 2029/30 cap</t>
  </si>
  <si>
    <t>2. Price per accredited megawatt</t>
  </si>
  <si>
    <t>Accredited capacity, first year</t>
  </si>
  <si>
    <t>Fee + capacity revenue per accredited MW-day</t>
  </si>
  <si>
    <t>IRAS credit rate (non-PAI rate)</t>
  </si>
  <si>
    <t>Rent per MWh of load</t>
  </si>
  <si>
    <t>Dispatch hours in record (1 Jan 2017 – 21 Sep 2026)</t>
  </si>
  <si>
    <t>Dispatch days since 1 Jan 2025</t>
  </si>
  <si>
    <t>Dispatch hours since 1 Jan 2025</t>
  </si>
  <si>
    <t>Dispatch hours per year since 1 Jan 2025</t>
  </si>
  <si>
    <t>4. On-site gas: capital per accredited kW</t>
  </si>
  <si>
    <t>Gas peaking capital cost, low</t>
  </si>
  <si>
    <t>Gas peaking capital cost, high</t>
  </si>
  <si>
    <t>Gas combustion turbine rating, dual fuel, 2029/30</t>
  </si>
  <si>
    <t>Gas combustion turbine rating, 2029/30</t>
  </si>
  <si>
    <t>Gas capital per accredited kW, low</t>
  </si>
  <si>
    <t>$/kW UCAP</t>
  </si>
  <si>
    <t>Gas capital per accredited kW, high</t>
  </si>
  <si>
    <t>Battery capital per accredited kW</t>
  </si>
  <si>
    <t>5. Scale of the need</t>
  </si>
  <si>
    <t>Dominion data-center billing demand, 2025</t>
  </si>
  <si>
    <t>GW</t>
  </si>
  <si>
    <t>Dominion data-center billing demand, 2030</t>
  </si>
  <si>
    <t>New capacity that growth needs to leave the IRAS tier</t>
  </si>
  <si>
    <t>GW UCAP</t>
  </si>
  <si>
    <t>Final Model</t>
  </si>
  <si>
    <t>50 MW / 500 MWh behind-the-meter battery supplying a new 50 MW co-location load's Bring Your Own New Capacity (BYONC) 
under PJM IRAS (Dominion zone, Loudoun County), in service 1 June 2029.</t>
  </si>
  <si>
    <t>Nominal US$ million, annual, end of period. 
Model years are PJM delivery years (1 June – 31 May): Year 0 = 2028/29 (construction), Years 1–15 = 2029/30 – 2043/44 (operation from 1 June 2029). 
Valued at the end of Year 0. Taxes use the same annual periods (simplification).</t>
  </si>
  <si>
    <t>1. Fee by case: the minimum fee in 13 cases, e.g. low/high cost, capacity price, O&amp;M, 5 h or 15 h, tax credit, interest rate, no recharge.
2. Case results: days covered, CAPEX and PJM charges in each case.
3. Cost limit: the highest CAPEX that still works if the customer will pay only $35, $30, $25 or the RBP cost.</t>
  </si>
  <si>
    <t>Base-case results: Results sheet.
Sensitivity cases and thresholds: Sensitivity sheet.
Customer-side comparisons (RBP, gas, rent): Customer sheet.</t>
  </si>
  <si>
    <t>Item</t>
  </si>
  <si>
    <t>Inputs → Events (PJM demand-response days, Dominion zone) → Technical → Costs → CashFlow → Results → Sensitivity → Customer.</t>
  </si>
  <si>
    <t>Goal Seek finds the fee that gives equity exactly a 12% return.
Route: Data → What-If Analysis → Goal Seek; set Results!B23 to 0 by changing Inputs!C30.
Re-run it after changing any input.</t>
  </si>
  <si>
    <t>Report Section 10 schedule.</t>
  </si>
  <si>
    <t>NREL (2025) p.12.</t>
  </si>
  <si>
    <t>Lazard LCOE+ (Jul 2026).</t>
  </si>
  <si>
    <t>NREL (2025).</t>
  </si>
  <si>
    <t>PJM Data Miner 2.</t>
  </si>
  <si>
    <t>PJM CIFP proposal (27 Jul 2026).</t>
  </si>
  <si>
    <t>PJM 2029/30 BRA planning parameters (3 Sep 2026).</t>
  </si>
  <si>
    <t>PJM ELCC class ratings, 2029/30 BRA.</t>
  </si>
  <si>
    <t>PJM ELCC class ratings, 2029/30 BRA.</t>
  </si>
  <si>
    <t>Uptime Institute survey (2025).</t>
  </si>
  <si>
    <t>NREL (2025) p.12.</t>
  </si>
  <si>
    <t>NREL (2025) p.6.</t>
  </si>
  <si>
    <t>NREL (2025) p.6.</t>
  </si>
  <si>
    <t>IRS §48E; Notice 2026-15.</t>
  </si>
  <si>
    <t>Norton Rose Fulbright (Jan 2026).</t>
  </si>
  <si>
    <t>26 U.S.C. §50(c)(3).</t>
  </si>
  <si>
    <t>NREL (2025) p.11.</t>
  </si>
  <si>
    <t>PNNL (2024).</t>
  </si>
  <si>
    <t>PNNL (2024).</t>
  </si>
  <si>
    <t>PJM Data Miner 2 (DOM, 2025).</t>
  </si>
  <si>
    <t>Goal Seek output.</t>
  </si>
  <si>
    <t>Contract design.</t>
  </si>
  <si>
    <t>PJM 2029/30 planning parameters (ER26-1556).</t>
  </si>
  <si>
    <t>Held flat (judgment).</t>
  </si>
  <si>
    <t>CBRE H1 2026.</t>
  </si>
  <si>
    <t>26 U.S.C. §172(a).</t>
  </si>
  <si>
    <t>IRS Publication 946, Table A-1.</t>
  </si>
  <si>
    <t>Federal Reserve H.15 (4 Sep 2026).</t>
  </si>
  <si>
    <t>Norton Rose Fulbright (Jan 2026).</t>
  </si>
  <si>
    <t>Norton Rose Fulbright (Jan 2025).</t>
  </si>
  <si>
    <t>Norton Rose Fulbright (Jan 2026).</t>
  </si>
  <si>
    <t>Norton Rose Fulbright (Jan 2026).</t>
  </si>
  <si>
    <t>Lazard LCOE+ (Jul 2026).</t>
  </si>
  <si>
    <t>Norton Rose Fulbright (Jan 2026).</t>
  </si>
  <si>
    <t>Norton Rose Fulbright (Jan 2026).</t>
  </si>
  <si>
    <t>Lazard LCOE+ (Jul 2026).</t>
  </si>
  <si>
    <t>Events sheet.</t>
  </si>
  <si>
    <t>PJM Emergency Procedures postings.</t>
  </si>
  <si>
    <t>CPUC UCAP workshop (3 Nov 2025), slide 47.</t>
  </si>
  <si>
    <t>PJM 2029/30 planning parameters.</t>
  </si>
  <si>
    <t>FERC ER26-2319; PJM Manual 18.</t>
  </si>
  <si>
    <t>Row 14.</t>
  </si>
  <si>
    <t>Held at the 2042/43 value.</t>
  </si>
  <si>
    <t>NREL (2025) Table 2.</t>
  </si>
  <si>
    <t>PJM 2029/30 planning parameters.</t>
  </si>
  <si>
    <t>PJM 2028/29 BRA report, p.20.</t>
  </si>
  <si>
    <t>PJM RBP filing ER26-3380.</t>
  </si>
  <si>
    <t>NREL (2025) p.11, Table 2.</t>
  </si>
  <si>
    <t>NREL (2025) Table 2.</t>
  </si>
  <si>
    <t>IRS §48E.</t>
  </si>
  <si>
    <t>PJM preliminary ELCC ratings (31 Aug 2026).</t>
  </si>
  <si>
    <t>PJM preliminary ELCC ratings (31 Aug 2026).</t>
  </si>
  <si>
    <t>PJM preliminary ELCC ratings (31 Aug 2026).</t>
  </si>
  <si>
    <t>PJM preliminary ELCC ratings (31 Aug 2026).</t>
  </si>
  <si>
    <t>PJM preliminary ELCC ratings (31 Aug 2026).</t>
  </si>
  <si>
    <t>PJM preliminary ELCC ratings (31 Aug 2026).</t>
  </si>
  <si>
    <t>PJM preliminary ELCC ratings (31 Aug 2026).</t>
  </si>
  <si>
    <t>PJM preliminary ELCC ratings (31 Aug 2026).</t>
  </si>
  <si>
    <t>PJM preliminary ELCC ratings (31 Aug 2026).</t>
  </si>
  <si>
    <t>PJM preliminary ELCC ratings (31 Aug 2026).</t>
  </si>
  <si>
    <t>PJM preliminary ELCC ratings (31 Aug 2026).</t>
  </si>
  <si>
    <t>PJM preliminary ELCC ratings (31 Aug 2026).</t>
  </si>
  <si>
    <t>PJM preliminary ELCC ratings (31 Aug 2026).</t>
  </si>
  <si>
    <t>K. Sensitivity ranges and benchmarks</t>
  </si>
  <si>
    <t>Availability fee per kW of load (Goal Seek)</t>
  </si>
  <si>
    <t>Source: PJM Emergency Procedures postings (column I); PJM Winter Storm Elliott report (Jul 2023).</t>
  </si>
  <si>
    <t>1. Service requirement (BYONC)</t>
  </si>
  <si>
    <t>2. Dispatch record (Events sheet)</t>
  </si>
  <si>
    <t>4. Event energy and PJM charges</t>
  </si>
  <si>
    <t>Equity contribution</t>
  </si>
  <si>
    <t>IT capacity of the load</t>
  </si>
  <si>
    <t>Sensitivity</t>
  </si>
  <si>
    <t>Active case</t>
  </si>
  <si>
    <t>Tornado summary</t>
  </si>
  <si>
    <t>Maximum CAPEX for a customer fee ceiling</t>
  </si>
  <si>
    <t>Source</t>
  </si>
  <si>
    <t>Lazard LCOE+ (Jul 2026).</t>
  </si>
  <si>
    <t>Lazard LCOE+ (Jul 2026).</t>
  </si>
  <si>
    <t>PJM ELCC class ratings, 2029/30 BRA.</t>
  </si>
  <si>
    <t>PJM ELCC class ratings, 2029/30 BRA.</t>
  </si>
  <si>
    <t>Dominion data-center forecast (16 Sep 2025).</t>
  </si>
  <si>
    <t>Dominion data-center forecast (16 Sep 2025).</t>
  </si>
  <si>
    <t>1. Customer's extra cost through RBP</t>
  </si>
  <si>
    <t>3. IRAS credit and dispatch record</t>
  </si>
  <si>
    <t>Accredited capacity (UCAP)</t>
  </si>
  <si>
    <t>(+) PJM capacity revenue</t>
  </si>
  <si>
    <t>(=) Total revenue</t>
  </si>
  <si>
    <t>(=) EBITDA</t>
  </si>
  <si>
    <t>Unlevered tax (project view)</t>
  </si>
  <si>
    <t>(−) Tax depreciation</t>
  </si>
  <si>
    <t>(=) Taxable income before losses</t>
  </si>
  <si>
    <t>Loss used</t>
  </si>
  <si>
    <t>Loss carryforward, closing</t>
  </si>
  <si>
    <t>(=) Project cash flow</t>
  </si>
  <si>
    <t>Debt sizing</t>
  </si>
  <si>
    <t>Blended DSCR target</t>
  </si>
  <si>
    <t>Sizing CFADS</t>
  </si>
  <si>
    <t>Level annual debt service</t>
  </si>
  <si>
    <t>Debt raised</t>
  </si>
  <si>
    <t>(−) Principal</t>
  </si>
  <si>
    <t>(−) Debt service</t>
  </si>
  <si>
    <t>Levered tax (equity view)</t>
  </si>
  <si>
    <t>(=) Taxable income before losses</t>
  </si>
  <si>
    <t>Loss used</t>
  </si>
  <si>
    <t>Loss carryforward, closing</t>
  </si>
  <si>
    <t>(=) CFADS</t>
  </si>
  <si>
    <t>DSCR</t>
  </si>
  <si>
    <t>(=) Equity cash flow</t>
  </si>
  <si>
    <t>Case</t>
  </si>
  <si>
    <t>1 Base case</t>
  </si>
  <si>
    <t>2 Installed cost: NREL 2028 low</t>
  </si>
  <si>
    <t>3 Installed cost: NREL 2028 high</t>
  </si>
  <si>
    <t>4 Capacity price: 2029/30 floor</t>
  </si>
  <si>
    <t>5 Capacity price: uncollared</t>
  </si>
  <si>
    <t>6 Fixed O&amp;M: NREL literal</t>
  </si>
  <si>
    <t>7 Duration 5 h</t>
  </si>
  <si>
    <t>8 Duration 15 h</t>
  </si>
  <si>
    <t>9 Tax credit 6%</t>
  </si>
  <si>
    <t>10 Tax credit 0%</t>
  </si>
  <si>
    <t>11 Treasury base rate +1 point</t>
  </si>
  <si>
    <t>12 Treasury base rate −1 point</t>
  </si>
  <si>
    <t>13 No overnight recharge</t>
  </si>
  <si>
    <t>Case</t>
  </si>
  <si>
    <t>Model checks</t>
  </si>
  <si>
    <t>Equity NPV at 12% (0 once Goal Seek is current)</t>
  </si>
  <si>
    <t>Debt balance after Year 15 (should be 0)</t>
  </si>
  <si>
    <t>Minimum DSCR minus lender target (should be 0 or more)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</si>
</sst>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;\(#,##0\);\-"/>
    <numFmt numFmtId="165" formatCode="0.0%;\(0.0%\);\-"/>
    <numFmt numFmtId="166" formatCode="#,##0.0;\(#,##0.0\);\-"/>
    <numFmt numFmtId="167" formatCode="#,##0.000;\(#,##0.000\);\-"/>
    <numFmt numFmtId="168" formatCode="#,##0.00;\(#,##0.00\);\-"/>
    <numFmt numFmtId="169" formatCode="0.00%;\(0.00%\);\-"/>
    <numFmt numFmtId="170" formatCode="0.00&quot;x&quot;"/>
    <numFmt numFmtId="171" formatCode="0.000"/>
    <numFmt numFmtId="172" formatCode="yyyy\-mm\-dd"/>
    <numFmt numFmtId="173" formatCode="hh:mm"/>
    <numFmt numFmtId="174" formatCode="0.0000"/>
    <numFmt numFmtId="175" formatCode="#,##0.000"/>
    <numFmt numFmtId="176" formatCode="&quot;NPV&quot;;&quot;NPV&quot;;&quot;NPV&quot;"/>
    <numFmt numFmtId="177" formatCode="0.0%"/>
    <numFmt numFmtId="178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FFFFFF00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168" fontId="3" fillId="5" borderId="2" xfId="0" applyNumberFormat="1" applyFont="1" applyFill="1" applyBorder="1" applyAlignment="1">
      <alignment horizontal="center" vertical="center"/>
    </xf>
    <xf numFmtId="169" fontId="3" fillId="5" borderId="2" xfId="0" applyNumberFormat="1" applyFont="1" applyFill="1" applyBorder="1" applyAlignment="1">
      <alignment horizontal="center" vertical="center"/>
    </xf>
    <xf numFmtId="168" fontId="3" fillId="4" borderId="2" xfId="0" applyNumberFormat="1" applyFont="1" applyFill="1" applyBorder="1" applyAlignment="1">
      <alignment horizontal="center" vertical="center"/>
    </xf>
    <xf numFmtId="170" fontId="3" fillId="5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168" fontId="2" fillId="4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1" fontId="3" fillId="0" borderId="1" xfId="0" applyNumberFormat="1" applyFont="1" applyBorder="1" applyAlignment="1">
      <alignment horizontal="center" vertical="center"/>
    </xf>
    <xf numFmtId="169" fontId="3" fillId="4" borderId="2" xfId="0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174" fontId="3" fillId="6" borderId="1" xfId="0" applyNumberFormat="1" applyFont="1" applyFill="1" applyBorder="1" applyAlignment="1">
      <alignment horizontal="center" vertical="center"/>
    </xf>
    <xf numFmtId="168" fontId="3" fillId="6" borderId="1" xfId="0" applyNumberFormat="1" applyFont="1" applyFill="1" applyBorder="1" applyAlignment="1">
      <alignment horizontal="center" vertical="center"/>
    </xf>
    <xf numFmtId="175" fontId="2" fillId="0" borderId="1" xfId="0" applyNumberFormat="1" applyFont="1" applyBorder="1" applyAlignment="1">
      <alignment horizontal="center" vertical="center"/>
    </xf>
    <xf numFmtId="175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1" fontId="6" fillId="5" borderId="2" xfId="0" applyNumberFormat="1" applyFont="1" applyFill="1" applyBorder="1" applyAlignment="1">
      <alignment horizontal="center" vertical="center"/>
    </xf>
    <xf numFmtId="174" fontId="6" fillId="5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8" fontId="6" fillId="5" borderId="2" xfId="0" applyNumberFormat="1" applyFont="1" applyFill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176" fontId="5" fillId="2" borderId="11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66" fontId="5" fillId="2" borderId="11" xfId="0" applyNumberFormat="1" applyFont="1" applyFill="1" applyBorder="1" applyAlignment="1">
      <alignment horizontal="center" vertical="center"/>
    </xf>
    <xf numFmtId="171" fontId="5" fillId="2" borderId="11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168" fontId="5" fillId="2" borderId="1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8" fontId="6" fillId="6" borderId="1" xfId="0" applyNumberFormat="1" applyFont="1" applyFill="1" applyBorder="1" applyAlignment="1">
      <alignment horizontal="center" vertical="center"/>
    </xf>
    <xf numFmtId="174" fontId="6" fillId="6" borderId="1" xfId="0" applyNumberFormat="1" applyFont="1" applyFill="1" applyBorder="1" applyAlignment="1">
      <alignment horizontal="center" vertical="center"/>
    </xf>
    <xf numFmtId="168" fontId="6" fillId="5" borderId="1" xfId="0" applyNumberFormat="1" applyFont="1" applyFill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2" fontId="3" fillId="0" borderId="1" xfId="0" applyNumberFormat="1" applyFont="1" applyBorder="1" applyAlignment="1">
      <alignment horizontal="center" vertical="center"/>
    </xf>
    <xf numFmtId="173" fontId="3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6" fillId="5" borderId="0" xfId="0" applyNumberFormat="1" applyFont="1" applyFill="1" applyAlignment="1">
      <alignment horizontal="center" vertical="center"/>
    </xf>
    <xf numFmtId="168" fontId="6" fillId="5" borderId="0" xfId="0" applyNumberFormat="1" applyFont="1" applyFill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9" fontId="6" fillId="5" borderId="0" xfId="0" applyNumberFormat="1" applyFont="1" applyFill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68" fontId="6" fillId="4" borderId="1" xfId="0" applyNumberFormat="1" applyFont="1" applyFill="1" applyBorder="1" applyAlignment="1">
      <alignment horizontal="center" vertical="center"/>
    </xf>
    <xf numFmtId="171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71" fontId="6" fillId="4" borderId="1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1" fontId="6" fillId="6" borderId="1" xfId="0" applyNumberFormat="1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1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="142" workbookViewId="0">
      <selection activeCell="B9" sqref="B9"/>
    </sheetView>
  </sheetViews>
  <sheetFormatPr baseColWidth="10" defaultColWidth="8.83203125" defaultRowHeight="15" x14ac:dyDescent="0.2"/>
  <cols>
    <col min="1" max="1" width="10.83203125" bestFit="1" customWidth="1"/>
    <col min="2" max="2" width="116.83203125" bestFit="1" customWidth="1"/>
  </cols>
  <sheetData>
    <row r="1" spans="1:2" x14ac:dyDescent="0.2">
      <c r="A1" s="115" t="s">
        <v>425</v>
      </c>
      <c r="B1" s="118"/>
    </row>
    <row r="2" spans="1:2" x14ac:dyDescent="0.2">
      <c r="A2" s="118"/>
      <c r="B2" s="118"/>
    </row>
    <row r="3" spans="1:2" x14ac:dyDescent="0.2">
      <c r="A3" s="118"/>
      <c r="B3" s="118"/>
    </row>
    <row r="4" spans="1:2" ht="28" x14ac:dyDescent="0.2">
      <c r="A4" s="1" t="s">
        <v>0</v>
      </c>
      <c r="B4" s="59" t="s">
        <v>426</v>
      </c>
    </row>
    <row r="5" spans="1:2" ht="56" x14ac:dyDescent="0.2">
      <c r="A5" s="1" t="s">
        <v>1</v>
      </c>
      <c r="B5" s="59" t="s">
        <v>427</v>
      </c>
    </row>
    <row r="6" spans="1:2" ht="28" x14ac:dyDescent="0.2">
      <c r="A6" s="1" t="s">
        <v>2</v>
      </c>
      <c r="B6" s="59" t="s">
        <v>3</v>
      </c>
    </row>
    <row r="7" spans="1:2" x14ac:dyDescent="0.2">
      <c r="A7" s="1" t="s">
        <v>4</v>
      </c>
      <c r="B7" s="59" t="s">
        <v>5</v>
      </c>
    </row>
    <row r="8" spans="1:2" x14ac:dyDescent="0.2">
      <c r="A8" s="1" t="s">
        <v>6</v>
      </c>
      <c r="B8" s="59" t="s">
        <v>431</v>
      </c>
    </row>
    <row r="9" spans="1:2" ht="42" x14ac:dyDescent="0.2">
      <c r="A9" s="1" t="s">
        <v>7</v>
      </c>
      <c r="B9" s="59" t="s">
        <v>432</v>
      </c>
    </row>
    <row r="10" spans="1:2" ht="42" x14ac:dyDescent="0.2">
      <c r="A10" s="1" t="s">
        <v>8</v>
      </c>
      <c r="B10" s="59" t="s">
        <v>428</v>
      </c>
    </row>
    <row r="11" spans="1:2" ht="42" x14ac:dyDescent="0.2">
      <c r="A11" s="1" t="s">
        <v>9</v>
      </c>
      <c r="B11" s="59" t="s">
        <v>429</v>
      </c>
    </row>
  </sheetData>
  <mergeCells count="1">
    <mergeCell ref="A1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9"/>
  <sheetViews>
    <sheetView zoomScale="85" workbookViewId="0">
      <pane xSplit="2" ySplit="4" topLeftCell="C5" activePane="bottomRight" state="frozen"/>
      <selection pane="topRight"/>
      <selection pane="bottomLeft"/>
      <selection pane="bottomRight" activeCell="B73" sqref="B73"/>
    </sheetView>
  </sheetViews>
  <sheetFormatPr baseColWidth="10" defaultColWidth="8.83203125" defaultRowHeight="15" x14ac:dyDescent="0.2"/>
  <cols>
    <col min="1" max="1" width="2.5" style="16" customWidth="1"/>
    <col min="2" max="2" width="50.83203125" style="67" bestFit="1" customWidth="1"/>
    <col min="3" max="3" width="7.5" style="16" bestFit="1" customWidth="1"/>
    <col min="4" max="4" width="25.83203125" style="16" bestFit="1" customWidth="1"/>
    <col min="5" max="5" width="34.83203125" style="16" bestFit="1" customWidth="1"/>
    <col min="6" max="6" width="45.6640625" style="16" bestFit="1" customWidth="1"/>
    <col min="7" max="16384" width="8.83203125" style="16"/>
  </cols>
  <sheetData>
    <row r="1" spans="1:6" x14ac:dyDescent="0.2">
      <c r="A1" s="115" t="s">
        <v>10</v>
      </c>
      <c r="B1" s="123"/>
      <c r="C1" s="115"/>
      <c r="D1" s="128"/>
      <c r="E1" s="128"/>
      <c r="F1" s="123"/>
    </row>
    <row r="2" spans="1:6" x14ac:dyDescent="0.2">
      <c r="A2" s="124"/>
      <c r="B2" s="125"/>
      <c r="C2" s="124"/>
      <c r="D2" s="129"/>
      <c r="E2" s="129"/>
      <c r="F2" s="125"/>
    </row>
    <row r="3" spans="1:6" x14ac:dyDescent="0.2">
      <c r="A3" s="126"/>
      <c r="B3" s="127"/>
      <c r="C3" s="126"/>
      <c r="D3" s="130"/>
      <c r="E3" s="130"/>
      <c r="F3" s="127"/>
    </row>
    <row r="4" spans="1:6" x14ac:dyDescent="0.2">
      <c r="A4" s="2"/>
      <c r="B4" s="2" t="s">
        <v>11</v>
      </c>
      <c r="C4" s="5" t="s">
        <v>12</v>
      </c>
      <c r="D4" s="2" t="s">
        <v>13</v>
      </c>
      <c r="E4" s="2" t="s">
        <v>14</v>
      </c>
      <c r="F4" s="2" t="s">
        <v>15</v>
      </c>
    </row>
    <row r="5" spans="1:6" x14ac:dyDescent="0.2">
      <c r="A5" s="120" t="s">
        <v>16</v>
      </c>
      <c r="B5" s="121"/>
      <c r="C5" s="121"/>
      <c r="D5" s="121"/>
      <c r="E5" s="121"/>
      <c r="F5" s="122"/>
    </row>
    <row r="6" spans="1:6" x14ac:dyDescent="0.2">
      <c r="A6" s="4"/>
      <c r="B6" s="4" t="s">
        <v>17</v>
      </c>
      <c r="C6" s="60">
        <v>2028</v>
      </c>
      <c r="D6" s="4" t="s">
        <v>18</v>
      </c>
      <c r="E6" s="4" t="s">
        <v>19</v>
      </c>
      <c r="F6" s="4" t="s">
        <v>433</v>
      </c>
    </row>
    <row r="7" spans="1:6" x14ac:dyDescent="0.2">
      <c r="A7" s="4"/>
      <c r="B7" s="4" t="s">
        <v>20</v>
      </c>
      <c r="C7" s="7">
        <v>15</v>
      </c>
      <c r="D7" s="4" t="s">
        <v>21</v>
      </c>
      <c r="E7" s="4" t="s">
        <v>19</v>
      </c>
      <c r="F7" s="4" t="s">
        <v>434</v>
      </c>
    </row>
    <row r="8" spans="1:6" x14ac:dyDescent="0.2">
      <c r="A8" s="4"/>
      <c r="B8" s="4" t="s">
        <v>22</v>
      </c>
      <c r="C8" s="8">
        <v>2.5000000000000001E-2</v>
      </c>
      <c r="D8" s="4" t="s">
        <v>23</v>
      </c>
      <c r="E8" s="4" t="s">
        <v>24</v>
      </c>
      <c r="F8" s="4" t="s">
        <v>435</v>
      </c>
    </row>
    <row r="9" spans="1:6" x14ac:dyDescent="0.2">
      <c r="A9" s="4"/>
      <c r="B9" s="4" t="s">
        <v>25</v>
      </c>
      <c r="C9" s="6">
        <v>2024</v>
      </c>
      <c r="D9" s="4" t="s">
        <v>18</v>
      </c>
      <c r="E9" s="4" t="s">
        <v>24</v>
      </c>
      <c r="F9" s="4" t="s">
        <v>436</v>
      </c>
    </row>
    <row r="10" spans="1:6" x14ac:dyDescent="0.2">
      <c r="A10" s="4"/>
      <c r="B10" s="4" t="s">
        <v>26</v>
      </c>
      <c r="C10" s="6">
        <v>2025</v>
      </c>
      <c r="D10" s="4" t="s">
        <v>18</v>
      </c>
      <c r="E10" s="4" t="s">
        <v>24</v>
      </c>
      <c r="F10" s="4" t="s">
        <v>437</v>
      </c>
    </row>
    <row r="11" spans="1:6" x14ac:dyDescent="0.2">
      <c r="A11" s="120" t="s">
        <v>27</v>
      </c>
      <c r="B11" s="121"/>
      <c r="C11" s="121"/>
      <c r="D11" s="121"/>
      <c r="E11" s="121"/>
      <c r="F11" s="122"/>
    </row>
    <row r="12" spans="1:6" x14ac:dyDescent="0.2">
      <c r="A12" s="4"/>
      <c r="B12" s="4" t="s">
        <v>28</v>
      </c>
      <c r="C12" s="9">
        <v>50</v>
      </c>
      <c r="D12" s="4" t="s">
        <v>29</v>
      </c>
      <c r="E12" s="4" t="s">
        <v>24</v>
      </c>
      <c r="F12" s="4" t="s">
        <v>438</v>
      </c>
    </row>
    <row r="13" spans="1:6" x14ac:dyDescent="0.2">
      <c r="A13" s="4"/>
      <c r="B13" s="4" t="s">
        <v>30</v>
      </c>
      <c r="C13" s="61">
        <v>0.92320000000000002</v>
      </c>
      <c r="D13" s="4" t="s">
        <v>31</v>
      </c>
      <c r="E13" s="4" t="s">
        <v>24</v>
      </c>
      <c r="F13" s="4" t="s">
        <v>439</v>
      </c>
    </row>
    <row r="14" spans="1:6" x14ac:dyDescent="0.2">
      <c r="A14" s="4"/>
      <c r="B14" s="4" t="s">
        <v>32</v>
      </c>
      <c r="C14" s="62">
        <v>0.9</v>
      </c>
      <c r="D14" s="4" t="s">
        <v>33</v>
      </c>
      <c r="E14" s="4" t="s">
        <v>34</v>
      </c>
      <c r="F14" s="4" t="s">
        <v>440</v>
      </c>
    </row>
    <row r="15" spans="1:6" x14ac:dyDescent="0.2">
      <c r="A15" s="4"/>
      <c r="B15" s="4" t="s">
        <v>35</v>
      </c>
      <c r="C15" s="63">
        <v>0.76</v>
      </c>
      <c r="D15" s="4" t="s">
        <v>33</v>
      </c>
      <c r="E15" s="4" t="s">
        <v>24</v>
      </c>
      <c r="F15" s="4" t="s">
        <v>441</v>
      </c>
    </row>
    <row r="16" spans="1:6" x14ac:dyDescent="0.2">
      <c r="A16" s="4"/>
      <c r="B16" s="4" t="s">
        <v>36</v>
      </c>
      <c r="C16" s="11">
        <v>1.54</v>
      </c>
      <c r="D16" s="4" t="s">
        <v>31</v>
      </c>
      <c r="E16" s="4" t="s">
        <v>34</v>
      </c>
      <c r="F16" s="4" t="s">
        <v>442</v>
      </c>
    </row>
    <row r="17" spans="1:6" x14ac:dyDescent="0.2">
      <c r="A17" s="4"/>
      <c r="B17" s="4" t="s">
        <v>37</v>
      </c>
      <c r="C17" s="8">
        <v>0.85</v>
      </c>
      <c r="D17" s="4" t="s">
        <v>33</v>
      </c>
      <c r="E17" s="4" t="s">
        <v>24</v>
      </c>
      <c r="F17" s="4" t="s">
        <v>443</v>
      </c>
    </row>
    <row r="18" spans="1:6" x14ac:dyDescent="0.2">
      <c r="A18" s="120" t="s">
        <v>38</v>
      </c>
      <c r="B18" s="121"/>
      <c r="C18" s="121"/>
      <c r="D18" s="121"/>
      <c r="E18" s="121"/>
      <c r="F18" s="122"/>
    </row>
    <row r="19" spans="1:6" x14ac:dyDescent="0.2">
      <c r="A19" s="4"/>
      <c r="B19" s="4" t="s">
        <v>39</v>
      </c>
      <c r="C19" s="12">
        <v>241</v>
      </c>
      <c r="D19" s="4" t="s">
        <v>40</v>
      </c>
      <c r="E19" s="4" t="s">
        <v>24</v>
      </c>
      <c r="F19" s="4" t="s">
        <v>444</v>
      </c>
    </row>
    <row r="20" spans="1:6" x14ac:dyDescent="0.2">
      <c r="A20" s="4"/>
      <c r="B20" s="4" t="s">
        <v>41</v>
      </c>
      <c r="C20" s="12">
        <v>372</v>
      </c>
      <c r="D20" s="4" t="s">
        <v>42</v>
      </c>
      <c r="E20" s="4" t="s">
        <v>24</v>
      </c>
      <c r="F20" s="4" t="s">
        <v>445</v>
      </c>
    </row>
    <row r="21" spans="1:6" x14ac:dyDescent="0.2">
      <c r="A21" s="4"/>
      <c r="B21" s="4" t="s">
        <v>43</v>
      </c>
      <c r="C21" s="8">
        <v>0.3</v>
      </c>
      <c r="D21" s="4" t="s">
        <v>33</v>
      </c>
      <c r="E21" s="4" t="s">
        <v>24</v>
      </c>
      <c r="F21" s="4" t="s">
        <v>446</v>
      </c>
    </row>
    <row r="22" spans="1:6" x14ac:dyDescent="0.2">
      <c r="A22" s="4"/>
      <c r="B22" s="4" t="s">
        <v>44</v>
      </c>
      <c r="C22" s="11">
        <v>0.9</v>
      </c>
      <c r="D22" s="4" t="s">
        <v>45</v>
      </c>
      <c r="E22" s="4" t="s">
        <v>24</v>
      </c>
      <c r="F22" s="4" t="s">
        <v>447</v>
      </c>
    </row>
    <row r="23" spans="1:6" x14ac:dyDescent="0.2">
      <c r="A23" s="4"/>
      <c r="B23" s="4" t="s">
        <v>46</v>
      </c>
      <c r="C23" s="11">
        <v>0.5</v>
      </c>
      <c r="D23" s="4" t="s">
        <v>47</v>
      </c>
      <c r="E23" s="4" t="s">
        <v>24</v>
      </c>
      <c r="F23" s="4" t="s">
        <v>448</v>
      </c>
    </row>
    <row r="24" spans="1:6" x14ac:dyDescent="0.2">
      <c r="A24" s="120" t="s">
        <v>48</v>
      </c>
      <c r="B24" s="121"/>
      <c r="C24" s="121"/>
      <c r="D24" s="121"/>
      <c r="E24" s="121"/>
      <c r="F24" s="122"/>
    </row>
    <row r="25" spans="1:6" x14ac:dyDescent="0.2">
      <c r="A25" s="4"/>
      <c r="B25" s="4" t="s">
        <v>49</v>
      </c>
      <c r="C25" s="8">
        <v>0.04</v>
      </c>
      <c r="D25" s="4" t="s">
        <v>50</v>
      </c>
      <c r="E25" s="4" t="s">
        <v>34</v>
      </c>
      <c r="F25" s="4" t="s">
        <v>449</v>
      </c>
    </row>
    <row r="26" spans="1:6" x14ac:dyDescent="0.2">
      <c r="A26" s="4"/>
      <c r="B26" s="4" t="s">
        <v>51</v>
      </c>
      <c r="C26" s="13">
        <v>4.0000000000000001E-3</v>
      </c>
      <c r="D26" s="4" t="s">
        <v>52</v>
      </c>
      <c r="E26" s="4" t="s">
        <v>34</v>
      </c>
      <c r="F26" s="4" t="s">
        <v>450</v>
      </c>
    </row>
    <row r="27" spans="1:6" x14ac:dyDescent="0.2">
      <c r="A27" s="4"/>
      <c r="B27" s="4" t="s">
        <v>53</v>
      </c>
      <c r="C27" s="13">
        <v>8.3999999999999995E-3</v>
      </c>
      <c r="D27" s="4" t="s">
        <v>52</v>
      </c>
      <c r="E27" s="4" t="s">
        <v>34</v>
      </c>
      <c r="F27" s="4" t="s">
        <v>451</v>
      </c>
    </row>
    <row r="28" spans="1:6" x14ac:dyDescent="0.2">
      <c r="A28" s="4"/>
      <c r="B28" s="4" t="s">
        <v>54</v>
      </c>
      <c r="C28" s="12">
        <v>47.53</v>
      </c>
      <c r="D28" s="4" t="s">
        <v>55</v>
      </c>
      <c r="E28" s="4" t="s">
        <v>56</v>
      </c>
      <c r="F28" s="4" t="s">
        <v>452</v>
      </c>
    </row>
    <row r="29" spans="1:6" x14ac:dyDescent="0.2">
      <c r="A29" s="120" t="s">
        <v>57</v>
      </c>
      <c r="B29" s="121"/>
      <c r="C29" s="121"/>
      <c r="D29" s="121"/>
      <c r="E29" s="121"/>
      <c r="F29" s="122"/>
    </row>
    <row r="30" spans="1:6" x14ac:dyDescent="0.2">
      <c r="A30" s="4"/>
      <c r="B30" s="4" t="s">
        <v>497</v>
      </c>
      <c r="C30" s="14">
        <v>27.653459170323316</v>
      </c>
      <c r="D30" s="4" t="s">
        <v>58</v>
      </c>
      <c r="E30" s="4" t="s">
        <v>59</v>
      </c>
      <c r="F30" s="4" t="s">
        <v>453</v>
      </c>
    </row>
    <row r="31" spans="1:6" x14ac:dyDescent="0.2">
      <c r="A31" s="4"/>
      <c r="B31" s="4" t="s">
        <v>60</v>
      </c>
      <c r="C31" s="8">
        <v>0</v>
      </c>
      <c r="D31" s="4" t="s">
        <v>23</v>
      </c>
      <c r="E31" s="4" t="s">
        <v>19</v>
      </c>
      <c r="F31" s="4" t="s">
        <v>454</v>
      </c>
    </row>
    <row r="32" spans="1:6" x14ac:dyDescent="0.2">
      <c r="A32" s="4"/>
      <c r="B32" s="4" t="s">
        <v>61</v>
      </c>
      <c r="C32" s="64">
        <v>337.83</v>
      </c>
      <c r="D32" s="4" t="s">
        <v>62</v>
      </c>
      <c r="E32" s="4" t="s">
        <v>56</v>
      </c>
      <c r="F32" s="4" t="s">
        <v>455</v>
      </c>
    </row>
    <row r="33" spans="1:6" x14ac:dyDescent="0.2">
      <c r="A33" s="4"/>
      <c r="B33" s="4" t="s">
        <v>63</v>
      </c>
      <c r="C33" s="8">
        <v>0</v>
      </c>
      <c r="D33" s="4" t="s">
        <v>64</v>
      </c>
      <c r="E33" s="4" t="s">
        <v>56</v>
      </c>
      <c r="F33" s="4" t="s">
        <v>456</v>
      </c>
    </row>
    <row r="34" spans="1:6" x14ac:dyDescent="0.2">
      <c r="A34" s="120" t="s">
        <v>65</v>
      </c>
      <c r="B34" s="121"/>
      <c r="C34" s="121"/>
      <c r="D34" s="121"/>
      <c r="E34" s="121"/>
      <c r="F34" s="122"/>
    </row>
    <row r="35" spans="1:6" x14ac:dyDescent="0.2">
      <c r="A35" s="4"/>
      <c r="B35" s="4" t="s">
        <v>66</v>
      </c>
      <c r="C35" s="12">
        <v>160</v>
      </c>
      <c r="D35" s="4" t="s">
        <v>58</v>
      </c>
      <c r="E35" s="4" t="s">
        <v>67</v>
      </c>
      <c r="F35" s="4" t="s">
        <v>457</v>
      </c>
    </row>
    <row r="36" spans="1:6" x14ac:dyDescent="0.2">
      <c r="A36" s="120" t="s">
        <v>68</v>
      </c>
      <c r="B36" s="121"/>
      <c r="C36" s="121"/>
      <c r="D36" s="121"/>
      <c r="E36" s="121"/>
      <c r="F36" s="122"/>
    </row>
    <row r="37" spans="1:6" x14ac:dyDescent="0.2">
      <c r="A37" s="4"/>
      <c r="B37" s="4" t="s">
        <v>69</v>
      </c>
      <c r="C37" s="8">
        <v>0.21</v>
      </c>
      <c r="D37" s="4" t="s">
        <v>33</v>
      </c>
      <c r="E37" s="4" t="s">
        <v>24</v>
      </c>
      <c r="F37" s="4" t="s">
        <v>70</v>
      </c>
    </row>
    <row r="38" spans="1:6" x14ac:dyDescent="0.2">
      <c r="A38" s="4"/>
      <c r="B38" s="4" t="s">
        <v>71</v>
      </c>
      <c r="C38" s="8">
        <v>0.06</v>
      </c>
      <c r="D38" s="4" t="s">
        <v>33</v>
      </c>
      <c r="E38" s="4" t="s">
        <v>24</v>
      </c>
      <c r="F38" s="4" t="s">
        <v>72</v>
      </c>
    </row>
    <row r="39" spans="1:6" x14ac:dyDescent="0.2">
      <c r="A39" s="4"/>
      <c r="B39" s="4" t="s">
        <v>73</v>
      </c>
      <c r="C39" s="8">
        <v>0.8</v>
      </c>
      <c r="D39" s="4" t="s">
        <v>74</v>
      </c>
      <c r="E39" s="4" t="s">
        <v>24</v>
      </c>
      <c r="F39" s="4" t="s">
        <v>458</v>
      </c>
    </row>
    <row r="40" spans="1:6" x14ac:dyDescent="0.2">
      <c r="A40" s="4"/>
      <c r="B40" s="4" t="s">
        <v>75</v>
      </c>
      <c r="C40" s="13">
        <v>0.2</v>
      </c>
      <c r="D40" s="4" t="s">
        <v>76</v>
      </c>
      <c r="E40" s="4" t="s">
        <v>24</v>
      </c>
      <c r="F40" s="4" t="s">
        <v>459</v>
      </c>
    </row>
    <row r="41" spans="1:6" x14ac:dyDescent="0.2">
      <c r="A41" s="4"/>
      <c r="B41" s="4" t="s">
        <v>77</v>
      </c>
      <c r="C41" s="13">
        <v>0.32</v>
      </c>
      <c r="D41" s="4" t="s">
        <v>76</v>
      </c>
      <c r="E41" s="4" t="s">
        <v>24</v>
      </c>
      <c r="F41" s="4"/>
    </row>
    <row r="42" spans="1:6" x14ac:dyDescent="0.2">
      <c r="A42" s="4"/>
      <c r="B42" s="4" t="s">
        <v>78</v>
      </c>
      <c r="C42" s="13">
        <v>0.192</v>
      </c>
      <c r="D42" s="4" t="s">
        <v>76</v>
      </c>
      <c r="E42" s="4" t="s">
        <v>24</v>
      </c>
      <c r="F42" s="4"/>
    </row>
    <row r="43" spans="1:6" x14ac:dyDescent="0.2">
      <c r="A43" s="4"/>
      <c r="B43" s="4" t="s">
        <v>79</v>
      </c>
      <c r="C43" s="13">
        <v>0.1152</v>
      </c>
      <c r="D43" s="4" t="s">
        <v>76</v>
      </c>
      <c r="E43" s="4" t="s">
        <v>24</v>
      </c>
      <c r="F43" s="4"/>
    </row>
    <row r="44" spans="1:6" x14ac:dyDescent="0.2">
      <c r="A44" s="4"/>
      <c r="B44" s="4" t="s">
        <v>80</v>
      </c>
      <c r="C44" s="13">
        <v>0.1152</v>
      </c>
      <c r="D44" s="4" t="s">
        <v>76</v>
      </c>
      <c r="E44" s="4" t="s">
        <v>24</v>
      </c>
      <c r="F44" s="4"/>
    </row>
    <row r="45" spans="1:6" x14ac:dyDescent="0.2">
      <c r="A45" s="4"/>
      <c r="B45" s="4" t="s">
        <v>81</v>
      </c>
      <c r="C45" s="13">
        <v>5.7599999999999998E-2</v>
      </c>
      <c r="D45" s="4" t="s">
        <v>76</v>
      </c>
      <c r="E45" s="4" t="s">
        <v>24</v>
      </c>
      <c r="F45" s="4"/>
    </row>
    <row r="46" spans="1:6" x14ac:dyDescent="0.2">
      <c r="A46" s="120" t="s">
        <v>82</v>
      </c>
      <c r="B46" s="121"/>
      <c r="C46" s="121"/>
      <c r="D46" s="121"/>
      <c r="E46" s="121"/>
      <c r="F46" s="122"/>
    </row>
    <row r="47" spans="1:6" x14ac:dyDescent="0.2">
      <c r="A47" s="4"/>
      <c r="B47" s="4" t="s">
        <v>83</v>
      </c>
      <c r="C47" s="13">
        <v>4.7699999999999999E-2</v>
      </c>
      <c r="D47" s="4" t="s">
        <v>33</v>
      </c>
      <c r="E47" s="4" t="s">
        <v>24</v>
      </c>
      <c r="F47" s="4" t="s">
        <v>460</v>
      </c>
    </row>
    <row r="48" spans="1:6" x14ac:dyDescent="0.2">
      <c r="A48" s="4"/>
      <c r="B48" s="4" t="s">
        <v>84</v>
      </c>
      <c r="C48" s="13">
        <v>1.7500000000000002E-2</v>
      </c>
      <c r="D48" s="4" t="s">
        <v>33</v>
      </c>
      <c r="E48" s="4" t="s">
        <v>67</v>
      </c>
      <c r="F48" s="4" t="s">
        <v>461</v>
      </c>
    </row>
    <row r="49" spans="1:6" x14ac:dyDescent="0.2">
      <c r="A49" s="4"/>
      <c r="B49" s="4" t="s">
        <v>85</v>
      </c>
      <c r="C49" s="13">
        <v>2.5000000000000001E-3</v>
      </c>
      <c r="D49" s="4" t="s">
        <v>33</v>
      </c>
      <c r="E49" s="4" t="s">
        <v>24</v>
      </c>
      <c r="F49" s="4" t="s">
        <v>462</v>
      </c>
    </row>
    <row r="50" spans="1:6" x14ac:dyDescent="0.2">
      <c r="A50" s="4"/>
      <c r="B50" s="4" t="s">
        <v>86</v>
      </c>
      <c r="C50" s="8">
        <v>0.1</v>
      </c>
      <c r="D50" s="4" t="s">
        <v>87</v>
      </c>
      <c r="E50" s="4" t="s">
        <v>24</v>
      </c>
      <c r="F50" s="4" t="s">
        <v>463</v>
      </c>
    </row>
    <row r="51" spans="1:6" x14ac:dyDescent="0.2">
      <c r="A51" s="4"/>
      <c r="B51" s="4" t="s">
        <v>88</v>
      </c>
      <c r="C51" s="13">
        <v>2.5000000000000001E-3</v>
      </c>
      <c r="D51" s="4" t="s">
        <v>33</v>
      </c>
      <c r="E51" s="4" t="s">
        <v>24</v>
      </c>
      <c r="F51" s="4" t="s">
        <v>89</v>
      </c>
    </row>
    <row r="52" spans="1:6" x14ac:dyDescent="0.2">
      <c r="A52" s="4"/>
      <c r="B52" s="4" t="s">
        <v>90</v>
      </c>
      <c r="C52" s="8">
        <v>0.3</v>
      </c>
      <c r="D52" s="4" t="s">
        <v>87</v>
      </c>
      <c r="E52" s="4" t="s">
        <v>24</v>
      </c>
      <c r="F52" s="4" t="s">
        <v>464</v>
      </c>
    </row>
    <row r="53" spans="1:6" x14ac:dyDescent="0.2">
      <c r="A53" s="4"/>
      <c r="B53" s="4" t="s">
        <v>91</v>
      </c>
      <c r="C53" s="13">
        <v>2.5000000000000001E-3</v>
      </c>
      <c r="D53" s="4" t="s">
        <v>33</v>
      </c>
      <c r="E53" s="4" t="s">
        <v>24</v>
      </c>
      <c r="F53" s="4" t="s">
        <v>89</v>
      </c>
    </row>
    <row r="54" spans="1:6" x14ac:dyDescent="0.2">
      <c r="A54" s="4"/>
      <c r="B54" s="4" t="s">
        <v>92</v>
      </c>
      <c r="C54" s="7">
        <v>15</v>
      </c>
      <c r="D54" s="4" t="s">
        <v>21</v>
      </c>
      <c r="E54" s="4" t="s">
        <v>24</v>
      </c>
      <c r="F54" s="4" t="s">
        <v>465</v>
      </c>
    </row>
    <row r="55" spans="1:6" x14ac:dyDescent="0.2">
      <c r="A55" s="4"/>
      <c r="B55" s="4" t="s">
        <v>93</v>
      </c>
      <c r="C55" s="15">
        <v>1.2</v>
      </c>
      <c r="D55" s="4" t="s">
        <v>94</v>
      </c>
      <c r="E55" s="4" t="s">
        <v>67</v>
      </c>
      <c r="F55" s="4" t="s">
        <v>466</v>
      </c>
    </row>
    <row r="56" spans="1:6" x14ac:dyDescent="0.2">
      <c r="A56" s="4"/>
      <c r="B56" s="4" t="s">
        <v>95</v>
      </c>
      <c r="C56" s="15">
        <v>2</v>
      </c>
      <c r="D56" s="4" t="s">
        <v>94</v>
      </c>
      <c r="E56" s="4" t="s">
        <v>24</v>
      </c>
      <c r="F56" s="4" t="s">
        <v>467</v>
      </c>
    </row>
    <row r="57" spans="1:6" x14ac:dyDescent="0.2">
      <c r="A57" s="4"/>
      <c r="B57" s="4" t="s">
        <v>96</v>
      </c>
      <c r="C57" s="10">
        <v>0.12</v>
      </c>
      <c r="D57" s="4" t="s">
        <v>33</v>
      </c>
      <c r="E57" s="4" t="s">
        <v>24</v>
      </c>
      <c r="F57" s="4" t="s">
        <v>468</v>
      </c>
    </row>
    <row r="58" spans="1:6" x14ac:dyDescent="0.2">
      <c r="A58" s="120" t="s">
        <v>97</v>
      </c>
      <c r="B58" s="121"/>
      <c r="C58" s="121"/>
      <c r="D58" s="121"/>
      <c r="E58" s="121"/>
      <c r="F58" s="122"/>
    </row>
    <row r="59" spans="1:6" x14ac:dyDescent="0.2">
      <c r="A59" s="4"/>
      <c r="B59" s="4" t="s">
        <v>98</v>
      </c>
      <c r="C59" s="9">
        <v>10</v>
      </c>
      <c r="D59" s="4" t="s">
        <v>99</v>
      </c>
      <c r="E59" s="4" t="s">
        <v>19</v>
      </c>
      <c r="F59" s="4" t="s">
        <v>469</v>
      </c>
    </row>
    <row r="60" spans="1:6" x14ac:dyDescent="0.2">
      <c r="A60" s="4"/>
      <c r="B60" s="4" t="s">
        <v>100</v>
      </c>
      <c r="C60" s="12">
        <v>9.7200000000000006</v>
      </c>
      <c r="D60" s="4" t="s">
        <v>21</v>
      </c>
      <c r="E60" s="4" t="s">
        <v>24</v>
      </c>
      <c r="F60" s="4" t="s">
        <v>470</v>
      </c>
    </row>
    <row r="61" spans="1:6" x14ac:dyDescent="0.2">
      <c r="A61" s="4"/>
      <c r="B61" s="4" t="s">
        <v>101</v>
      </c>
      <c r="C61" s="52">
        <v>8.9399999999999993E-2</v>
      </c>
      <c r="D61" s="4" t="s">
        <v>33</v>
      </c>
      <c r="E61" s="4" t="s">
        <v>34</v>
      </c>
      <c r="F61" s="4" t="s">
        <v>471</v>
      </c>
    </row>
    <row r="62" spans="1:6" x14ac:dyDescent="0.2">
      <c r="A62" s="4"/>
      <c r="B62" s="4" t="s">
        <v>102</v>
      </c>
      <c r="C62" s="64">
        <v>261.79000000000002</v>
      </c>
      <c r="D62" s="4" t="s">
        <v>103</v>
      </c>
      <c r="E62" s="4" t="s">
        <v>24</v>
      </c>
      <c r="F62" s="4" t="s">
        <v>472</v>
      </c>
    </row>
    <row r="63" spans="1:6" x14ac:dyDescent="0.2">
      <c r="A63" s="4"/>
      <c r="B63" s="4" t="s">
        <v>104</v>
      </c>
      <c r="C63" s="8">
        <v>0.5</v>
      </c>
      <c r="D63" s="4" t="s">
        <v>33</v>
      </c>
      <c r="E63" s="4" t="s">
        <v>24</v>
      </c>
      <c r="F63" s="4" t="s">
        <v>473</v>
      </c>
    </row>
    <row r="64" spans="1:6" x14ac:dyDescent="0.2">
      <c r="A64" s="120" t="s">
        <v>105</v>
      </c>
      <c r="B64" s="121"/>
      <c r="C64" s="121"/>
      <c r="D64" s="121"/>
      <c r="E64" s="121"/>
      <c r="F64" s="122"/>
    </row>
    <row r="65" spans="1:6" x14ac:dyDescent="0.2">
      <c r="A65" s="4"/>
      <c r="B65" s="4" t="s">
        <v>106</v>
      </c>
      <c r="C65" s="53">
        <f>C14</f>
        <v>0.9</v>
      </c>
      <c r="D65" s="4" t="s">
        <v>33</v>
      </c>
      <c r="E65" s="4" t="s">
        <v>24</v>
      </c>
      <c r="F65" s="4" t="s">
        <v>474</v>
      </c>
    </row>
    <row r="66" spans="1:6" x14ac:dyDescent="0.2">
      <c r="A66" s="4"/>
      <c r="B66" s="4" t="s">
        <v>107</v>
      </c>
      <c r="C66" s="63">
        <v>0.84</v>
      </c>
      <c r="D66" s="4" t="s">
        <v>33</v>
      </c>
      <c r="E66" s="4" t="s">
        <v>108</v>
      </c>
      <c r="F66" s="4" t="s">
        <v>483</v>
      </c>
    </row>
    <row r="67" spans="1:6" x14ac:dyDescent="0.2">
      <c r="A67" s="4"/>
      <c r="B67" s="4" t="s">
        <v>109</v>
      </c>
      <c r="C67" s="63">
        <v>0.82</v>
      </c>
      <c r="D67" s="4" t="s">
        <v>33</v>
      </c>
      <c r="E67" s="4" t="s">
        <v>108</v>
      </c>
      <c r="F67" s="4" t="s">
        <v>484</v>
      </c>
    </row>
    <row r="68" spans="1:6" x14ac:dyDescent="0.2">
      <c r="A68" s="4"/>
      <c r="B68" s="4" t="s">
        <v>110</v>
      </c>
      <c r="C68" s="63">
        <v>0.82</v>
      </c>
      <c r="D68" s="4" t="s">
        <v>33</v>
      </c>
      <c r="E68" s="4" t="s">
        <v>108</v>
      </c>
      <c r="F68" s="4" t="s">
        <v>485</v>
      </c>
    </row>
    <row r="69" spans="1:6" x14ac:dyDescent="0.2">
      <c r="A69" s="4"/>
      <c r="B69" s="4" t="s">
        <v>111</v>
      </c>
      <c r="C69" s="63">
        <v>0.8</v>
      </c>
      <c r="D69" s="4" t="s">
        <v>33</v>
      </c>
      <c r="E69" s="4" t="s">
        <v>108</v>
      </c>
      <c r="F69" s="4" t="s">
        <v>486</v>
      </c>
    </row>
    <row r="70" spans="1:6" x14ac:dyDescent="0.2">
      <c r="A70" s="4"/>
      <c r="B70" s="4" t="s">
        <v>112</v>
      </c>
      <c r="C70" s="63">
        <v>0.78</v>
      </c>
      <c r="D70" s="4" t="s">
        <v>33</v>
      </c>
      <c r="E70" s="4" t="s">
        <v>108</v>
      </c>
      <c r="F70" s="4" t="s">
        <v>487</v>
      </c>
    </row>
    <row r="71" spans="1:6" x14ac:dyDescent="0.2">
      <c r="A71" s="4"/>
      <c r="B71" s="4" t="s">
        <v>113</v>
      </c>
      <c r="C71" s="63">
        <v>0.76</v>
      </c>
      <c r="D71" s="4" t="s">
        <v>33</v>
      </c>
      <c r="E71" s="4" t="s">
        <v>108</v>
      </c>
      <c r="F71" s="4" t="s">
        <v>488</v>
      </c>
    </row>
    <row r="72" spans="1:6" x14ac:dyDescent="0.2">
      <c r="A72" s="4"/>
      <c r="B72" s="4" t="s">
        <v>114</v>
      </c>
      <c r="C72" s="63">
        <v>0.75</v>
      </c>
      <c r="D72" s="4" t="s">
        <v>33</v>
      </c>
      <c r="E72" s="4" t="s">
        <v>108</v>
      </c>
      <c r="F72" s="4" t="s">
        <v>489</v>
      </c>
    </row>
    <row r="73" spans="1:6" x14ac:dyDescent="0.2">
      <c r="A73" s="4"/>
      <c r="B73" s="4" t="s">
        <v>115</v>
      </c>
      <c r="C73" s="63">
        <v>0.76</v>
      </c>
      <c r="D73" s="4" t="s">
        <v>33</v>
      </c>
      <c r="E73" s="4" t="s">
        <v>108</v>
      </c>
      <c r="F73" s="4" t="s">
        <v>490</v>
      </c>
    </row>
    <row r="74" spans="1:6" x14ac:dyDescent="0.2">
      <c r="A74" s="4"/>
      <c r="B74" s="4" t="s">
        <v>116</v>
      </c>
      <c r="C74" s="63">
        <v>0.77</v>
      </c>
      <c r="D74" s="4" t="s">
        <v>33</v>
      </c>
      <c r="E74" s="4" t="s">
        <v>108</v>
      </c>
      <c r="F74" s="4" t="s">
        <v>491</v>
      </c>
    </row>
    <row r="75" spans="1:6" x14ac:dyDescent="0.2">
      <c r="A75" s="4"/>
      <c r="B75" s="4" t="s">
        <v>117</v>
      </c>
      <c r="C75" s="63">
        <v>0.77</v>
      </c>
      <c r="D75" s="4" t="s">
        <v>33</v>
      </c>
      <c r="E75" s="4" t="s">
        <v>108</v>
      </c>
      <c r="F75" s="4" t="s">
        <v>492</v>
      </c>
    </row>
    <row r="76" spans="1:6" x14ac:dyDescent="0.2">
      <c r="A76" s="4"/>
      <c r="B76" s="4" t="s">
        <v>118</v>
      </c>
      <c r="C76" s="63">
        <v>0.75</v>
      </c>
      <c r="D76" s="4" t="s">
        <v>33</v>
      </c>
      <c r="E76" s="4" t="s">
        <v>108</v>
      </c>
      <c r="F76" s="4" t="s">
        <v>493</v>
      </c>
    </row>
    <row r="77" spans="1:6" x14ac:dyDescent="0.2">
      <c r="A77" s="4"/>
      <c r="B77" s="4" t="s">
        <v>119</v>
      </c>
      <c r="C77" s="63">
        <v>0.75</v>
      </c>
      <c r="D77" s="4" t="s">
        <v>33</v>
      </c>
      <c r="E77" s="4" t="s">
        <v>108</v>
      </c>
      <c r="F77" s="4" t="s">
        <v>494</v>
      </c>
    </row>
    <row r="78" spans="1:6" x14ac:dyDescent="0.2">
      <c r="A78" s="4"/>
      <c r="B78" s="4" t="s">
        <v>120</v>
      </c>
      <c r="C78" s="63">
        <v>0.75</v>
      </c>
      <c r="D78" s="4" t="s">
        <v>33</v>
      </c>
      <c r="E78" s="4" t="s">
        <v>108</v>
      </c>
      <c r="F78" s="4" t="s">
        <v>495</v>
      </c>
    </row>
    <row r="79" spans="1:6" x14ac:dyDescent="0.2">
      <c r="A79" s="4"/>
      <c r="B79" s="4" t="s">
        <v>121</v>
      </c>
      <c r="C79" s="63">
        <v>0.75</v>
      </c>
      <c r="D79" s="4" t="s">
        <v>33</v>
      </c>
      <c r="E79" s="4" t="s">
        <v>122</v>
      </c>
      <c r="F79" s="4" t="s">
        <v>475</v>
      </c>
    </row>
    <row r="81" spans="1:6" x14ac:dyDescent="0.2">
      <c r="A81" s="119" t="s">
        <v>496</v>
      </c>
      <c r="B81" s="119"/>
      <c r="C81" s="119"/>
      <c r="D81" s="119"/>
      <c r="E81" s="119"/>
      <c r="F81" s="119"/>
    </row>
    <row r="82" spans="1:6" x14ac:dyDescent="0.2">
      <c r="A82" s="96"/>
      <c r="B82" s="97" t="s">
        <v>123</v>
      </c>
      <c r="C82" s="98">
        <v>0.88</v>
      </c>
      <c r="D82" s="96" t="s">
        <v>124</v>
      </c>
      <c r="E82" s="96" t="s">
        <v>24</v>
      </c>
      <c r="F82" s="96" t="s">
        <v>476</v>
      </c>
    </row>
    <row r="83" spans="1:6" x14ac:dyDescent="0.2">
      <c r="A83" s="96"/>
      <c r="B83" s="96" t="s">
        <v>125</v>
      </c>
      <c r="C83" s="99">
        <v>181.91</v>
      </c>
      <c r="D83" s="96" t="s">
        <v>62</v>
      </c>
      <c r="E83" s="96" t="s">
        <v>24</v>
      </c>
      <c r="F83" s="96" t="s">
        <v>477</v>
      </c>
    </row>
    <row r="84" spans="1:6" x14ac:dyDescent="0.2">
      <c r="A84" s="96"/>
      <c r="B84" s="96" t="s">
        <v>126</v>
      </c>
      <c r="C84" s="99">
        <v>554.72</v>
      </c>
      <c r="D84" s="96" t="s">
        <v>62</v>
      </c>
      <c r="E84" s="96" t="s">
        <v>24</v>
      </c>
      <c r="F84" s="96" t="s">
        <v>478</v>
      </c>
    </row>
    <row r="85" spans="1:6" x14ac:dyDescent="0.2">
      <c r="A85" s="96"/>
      <c r="B85" s="96" t="s">
        <v>127</v>
      </c>
      <c r="C85" s="99">
        <v>555</v>
      </c>
      <c r="D85" s="96" t="s">
        <v>62</v>
      </c>
      <c r="E85" s="96" t="s">
        <v>24</v>
      </c>
      <c r="F85" s="96" t="s">
        <v>479</v>
      </c>
    </row>
    <row r="86" spans="1:6" x14ac:dyDescent="0.2">
      <c r="A86" s="96"/>
      <c r="B86" s="96" t="s">
        <v>128</v>
      </c>
      <c r="C86" s="100">
        <f>0.04*334*4/(C19*C59+C20)</f>
        <v>1.9209202012940331E-2</v>
      </c>
      <c r="D86" s="96" t="s">
        <v>50</v>
      </c>
      <c r="E86" s="96" t="s">
        <v>129</v>
      </c>
      <c r="F86" s="96" t="s">
        <v>480</v>
      </c>
    </row>
    <row r="87" spans="1:6" x14ac:dyDescent="0.2">
      <c r="A87" s="96"/>
      <c r="B87" s="96" t="s">
        <v>130</v>
      </c>
      <c r="C87" s="98">
        <v>0.69</v>
      </c>
      <c r="D87" s="96" t="s">
        <v>124</v>
      </c>
      <c r="E87" s="96" t="s">
        <v>24</v>
      </c>
      <c r="F87" s="96" t="s">
        <v>131</v>
      </c>
    </row>
    <row r="88" spans="1:6" x14ac:dyDescent="0.2">
      <c r="A88" s="96"/>
      <c r="B88" s="96" t="s">
        <v>132</v>
      </c>
      <c r="C88" s="98">
        <v>1.08</v>
      </c>
      <c r="D88" s="96" t="s">
        <v>124</v>
      </c>
      <c r="E88" s="96" t="s">
        <v>24</v>
      </c>
      <c r="F88" s="96" t="s">
        <v>481</v>
      </c>
    </row>
    <row r="89" spans="1:6" x14ac:dyDescent="0.2">
      <c r="A89" s="96"/>
      <c r="B89" s="96" t="s">
        <v>133</v>
      </c>
      <c r="C89" s="101">
        <v>0.06</v>
      </c>
      <c r="D89" s="96" t="s">
        <v>33</v>
      </c>
      <c r="E89" s="96" t="s">
        <v>24</v>
      </c>
      <c r="F89" s="96" t="s">
        <v>482</v>
      </c>
    </row>
  </sheetData>
  <mergeCells count="13">
    <mergeCell ref="A1:B3"/>
    <mergeCell ref="A29:F29"/>
    <mergeCell ref="A24:F24"/>
    <mergeCell ref="A11:F11"/>
    <mergeCell ref="A46:F46"/>
    <mergeCell ref="A36:F36"/>
    <mergeCell ref="C1:F3"/>
    <mergeCell ref="A5:F5"/>
    <mergeCell ref="A81:F81"/>
    <mergeCell ref="A64:F64"/>
    <mergeCell ref="A58:F58"/>
    <mergeCell ref="A34:F34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workbookViewId="0">
      <pane ySplit="4" topLeftCell="A5" activePane="bottomLeft" state="frozen"/>
      <selection pane="bottomLeft" activeCell="C37" sqref="C37"/>
    </sheetView>
  </sheetViews>
  <sheetFormatPr baseColWidth="10" defaultColWidth="8.83203125" defaultRowHeight="15" x14ac:dyDescent="0.2"/>
  <cols>
    <col min="1" max="1" width="10.1640625" style="16" bestFit="1" customWidth="1"/>
    <col min="2" max="2" width="54.6640625" style="16" bestFit="1" customWidth="1"/>
    <col min="3" max="3" width="28.83203125" style="16" bestFit="1" customWidth="1"/>
    <col min="4" max="4" width="8.33203125" style="16" bestFit="1" customWidth="1"/>
    <col min="5" max="5" width="7.83203125" style="16" bestFit="1" customWidth="1"/>
    <col min="6" max="6" width="6" style="16" bestFit="1" customWidth="1"/>
    <col min="7" max="7" width="11.5" style="16" bestFit="1" customWidth="1"/>
    <col min="8" max="8" width="14.83203125" style="16" bestFit="1" customWidth="1"/>
    <col min="9" max="9" width="20.33203125" style="16" customWidth="1"/>
    <col min="10" max="10" width="16.6640625" style="16" bestFit="1" customWidth="1"/>
    <col min="11" max="11" width="14.83203125" style="16" customWidth="1"/>
    <col min="12" max="12" width="15.1640625" style="16" bestFit="1" customWidth="1"/>
    <col min="13" max="13" width="13.5" style="16" bestFit="1" customWidth="1"/>
    <col min="14" max="16384" width="8.83203125" style="16"/>
  </cols>
  <sheetData>
    <row r="1" spans="1:13" x14ac:dyDescent="0.2">
      <c r="A1" s="133" t="s">
        <v>134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5"/>
    </row>
    <row r="2" spans="1:13" ht="29" customHeight="1" x14ac:dyDescent="0.2">
      <c r="A2" s="136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8"/>
    </row>
    <row r="3" spans="1:13" x14ac:dyDescent="0.2">
      <c r="A3" s="131" t="s">
        <v>498</v>
      </c>
      <c r="B3" s="116"/>
      <c r="C3" s="116"/>
      <c r="D3" s="116"/>
      <c r="E3" s="116"/>
      <c r="F3" s="116"/>
      <c r="G3" s="116"/>
      <c r="H3" s="116"/>
      <c r="I3" s="116"/>
      <c r="J3" s="131"/>
      <c r="K3" s="132"/>
      <c r="L3" s="132"/>
      <c r="M3" s="132"/>
    </row>
    <row r="4" spans="1:13" ht="42" x14ac:dyDescent="0.2">
      <c r="A4" s="2" t="s">
        <v>135</v>
      </c>
      <c r="B4" s="2" t="s">
        <v>136</v>
      </c>
      <c r="C4" s="2" t="s">
        <v>137</v>
      </c>
      <c r="D4" s="2" t="s">
        <v>138</v>
      </c>
      <c r="E4" s="2" t="s">
        <v>139</v>
      </c>
      <c r="F4" s="2" t="s">
        <v>140</v>
      </c>
      <c r="G4" s="2" t="s">
        <v>141</v>
      </c>
      <c r="H4" s="2" t="s">
        <v>142</v>
      </c>
      <c r="I4" s="2" t="s">
        <v>143</v>
      </c>
      <c r="J4" s="79" t="s">
        <v>144</v>
      </c>
      <c r="K4" s="79" t="s">
        <v>145</v>
      </c>
      <c r="L4" s="79" t="s">
        <v>146</v>
      </c>
      <c r="M4" s="79" t="s">
        <v>147</v>
      </c>
    </row>
    <row r="5" spans="1:13" x14ac:dyDescent="0.2">
      <c r="A5" s="93">
        <v>43740</v>
      </c>
      <c r="B5" s="58" t="s">
        <v>148</v>
      </c>
      <c r="C5" s="58" t="s">
        <v>149</v>
      </c>
      <c r="D5" s="94">
        <v>0.58333333333333337</v>
      </c>
      <c r="E5" s="94">
        <v>0.65625</v>
      </c>
      <c r="F5" s="40">
        <f t="shared" ref="F5:F20" si="0">(E5-D5)*24</f>
        <v>1.7499999999999991</v>
      </c>
      <c r="G5" s="58">
        <v>1</v>
      </c>
      <c r="H5" s="58">
        <v>0</v>
      </c>
      <c r="I5" s="58" t="s">
        <v>150</v>
      </c>
      <c r="J5" s="87">
        <v>0</v>
      </c>
      <c r="K5" s="85">
        <f>Technical!$B$31</f>
        <v>500</v>
      </c>
      <c r="L5" s="85">
        <f>MIN(Technical!$B$30*F5,K5)</f>
        <v>87.499999999999957</v>
      </c>
      <c r="M5" s="85">
        <f>Technical!$B$30*F5-L5</f>
        <v>0</v>
      </c>
    </row>
    <row r="6" spans="1:13" x14ac:dyDescent="0.2">
      <c r="A6" s="93">
        <v>44918</v>
      </c>
      <c r="B6" s="58" t="s">
        <v>151</v>
      </c>
      <c r="C6" s="58" t="s">
        <v>152</v>
      </c>
      <c r="D6" s="94">
        <v>0.75</v>
      </c>
      <c r="E6" s="94">
        <v>0.92708333333333337</v>
      </c>
      <c r="F6" s="40">
        <f t="shared" si="0"/>
        <v>4.2500000000000009</v>
      </c>
      <c r="G6" s="58">
        <v>1</v>
      </c>
      <c r="H6" s="58">
        <v>1</v>
      </c>
      <c r="I6" s="58" t="s">
        <v>153</v>
      </c>
      <c r="J6" s="87">
        <f t="shared" ref="J6:J20" si="1">IF(A6-A5=1,1,0)</f>
        <v>0</v>
      </c>
      <c r="K6" s="85">
        <f>IF(AND(Sensitivity!$B$15=0,J6=1),MAX(0,K5-L5),Technical!$B$31)</f>
        <v>500</v>
      </c>
      <c r="L6" s="85">
        <f>MIN(Technical!$B$30*F6,K6)</f>
        <v>212.50000000000006</v>
      </c>
      <c r="M6" s="85">
        <f>Technical!$B$30*F6-L6</f>
        <v>0</v>
      </c>
    </row>
    <row r="7" spans="1:13" x14ac:dyDescent="0.2">
      <c r="A7" s="93">
        <v>44919</v>
      </c>
      <c r="B7" s="58" t="s">
        <v>154</v>
      </c>
      <c r="C7" s="58" t="s">
        <v>152</v>
      </c>
      <c r="D7" s="94">
        <v>0.25</v>
      </c>
      <c r="E7" s="94">
        <v>0.85416666666666663</v>
      </c>
      <c r="F7" s="40">
        <f t="shared" si="0"/>
        <v>14.5</v>
      </c>
      <c r="G7" s="58">
        <v>1</v>
      </c>
      <c r="H7" s="58">
        <v>1</v>
      </c>
      <c r="I7" s="58" t="s">
        <v>155</v>
      </c>
      <c r="J7" s="87">
        <f t="shared" si="1"/>
        <v>1</v>
      </c>
      <c r="K7" s="85">
        <f>IF(AND(Sensitivity!$B$15=0,J7=1),MAX(0,K6-L6),Technical!$B$31)</f>
        <v>500</v>
      </c>
      <c r="L7" s="85">
        <f>MIN(Technical!$B$30*F7,K7)</f>
        <v>500</v>
      </c>
      <c r="M7" s="85">
        <f>Technical!$B$30*F7-L7</f>
        <v>225</v>
      </c>
    </row>
    <row r="8" spans="1:13" x14ac:dyDescent="0.2">
      <c r="A8" s="93">
        <v>45707</v>
      </c>
      <c r="B8" s="58" t="s">
        <v>156</v>
      </c>
      <c r="C8" s="58" t="s">
        <v>157</v>
      </c>
      <c r="D8" s="94">
        <v>0.68055555555555558</v>
      </c>
      <c r="E8" s="94">
        <v>0.92708333333333337</v>
      </c>
      <c r="F8" s="40">
        <f t="shared" si="0"/>
        <v>5.916666666666667</v>
      </c>
      <c r="G8" s="58">
        <v>0</v>
      </c>
      <c r="H8" s="58">
        <v>1</v>
      </c>
      <c r="I8" s="58" t="s">
        <v>158</v>
      </c>
      <c r="J8" s="87">
        <f t="shared" si="1"/>
        <v>0</v>
      </c>
      <c r="K8" s="85">
        <f>IF(AND(Sensitivity!$B$15=0,J8=1),MAX(0,K7-L7),Technical!$B$31)</f>
        <v>500</v>
      </c>
      <c r="L8" s="85">
        <f>MIN(Technical!$B$30*F8,K8)</f>
        <v>295.83333333333337</v>
      </c>
      <c r="M8" s="85">
        <f>Technical!$B$30*F8-L8</f>
        <v>0</v>
      </c>
    </row>
    <row r="9" spans="1:13" x14ac:dyDescent="0.2">
      <c r="A9" s="93">
        <v>45831</v>
      </c>
      <c r="B9" s="58" t="s">
        <v>156</v>
      </c>
      <c r="C9" s="58" t="s">
        <v>159</v>
      </c>
      <c r="D9" s="94">
        <v>0.625</v>
      </c>
      <c r="E9" s="94">
        <v>0.91666666666666663</v>
      </c>
      <c r="F9" s="40">
        <f t="shared" si="0"/>
        <v>6.9999999999999991</v>
      </c>
      <c r="G9" s="58">
        <v>0</v>
      </c>
      <c r="H9" s="58">
        <v>0</v>
      </c>
      <c r="I9" s="58" t="s">
        <v>160</v>
      </c>
      <c r="J9" s="87">
        <f t="shared" si="1"/>
        <v>0</v>
      </c>
      <c r="K9" s="85">
        <f>IF(AND(Sensitivity!$B$15=0,J9=1),MAX(0,K8-L8),Technical!$B$31)</f>
        <v>500</v>
      </c>
      <c r="L9" s="85">
        <f>MIN(Technical!$B$30*F9,K9)</f>
        <v>349.99999999999994</v>
      </c>
      <c r="M9" s="85">
        <f>Technical!$B$30*F9-L9</f>
        <v>0</v>
      </c>
    </row>
    <row r="10" spans="1:13" x14ac:dyDescent="0.2">
      <c r="A10" s="93">
        <v>45832</v>
      </c>
      <c r="B10" s="58" t="s">
        <v>156</v>
      </c>
      <c r="C10" s="58" t="s">
        <v>161</v>
      </c>
      <c r="D10" s="94">
        <v>0.625</v>
      </c>
      <c r="E10" s="94">
        <v>0.91666666666666663</v>
      </c>
      <c r="F10" s="40">
        <f t="shared" si="0"/>
        <v>6.9999999999999991</v>
      </c>
      <c r="G10" s="58">
        <v>0</v>
      </c>
      <c r="H10" s="58">
        <v>0</v>
      </c>
      <c r="I10" s="58" t="s">
        <v>162</v>
      </c>
      <c r="J10" s="87">
        <f t="shared" si="1"/>
        <v>1</v>
      </c>
      <c r="K10" s="85">
        <f>IF(AND(Sensitivity!$B$15=0,J10=1),MAX(0,K9-L9),Technical!$B$31)</f>
        <v>500</v>
      </c>
      <c r="L10" s="85">
        <f>MIN(Technical!$B$30*F10,K10)</f>
        <v>349.99999999999994</v>
      </c>
      <c r="M10" s="85">
        <f>Technical!$B$30*F10-L10</f>
        <v>0</v>
      </c>
    </row>
    <row r="11" spans="1:13" x14ac:dyDescent="0.2">
      <c r="A11" s="93">
        <v>45833</v>
      </c>
      <c r="B11" s="58" t="s">
        <v>156</v>
      </c>
      <c r="C11" s="58" t="s">
        <v>163</v>
      </c>
      <c r="D11" s="94">
        <v>0.625</v>
      </c>
      <c r="E11" s="94">
        <v>0.79166666666666663</v>
      </c>
      <c r="F11" s="40">
        <f t="shared" si="0"/>
        <v>3.9999999999999991</v>
      </c>
      <c r="G11" s="58">
        <v>0</v>
      </c>
      <c r="H11" s="58">
        <v>0</v>
      </c>
      <c r="I11" s="58" t="s">
        <v>164</v>
      </c>
      <c r="J11" s="87">
        <f t="shared" si="1"/>
        <v>1</v>
      </c>
      <c r="K11" s="85">
        <f>IF(AND(Sensitivity!$B$15=0,J11=1),MAX(0,K10-L10),Technical!$B$31)</f>
        <v>500</v>
      </c>
      <c r="L11" s="85">
        <f>MIN(Technical!$B$30*F11,K11)</f>
        <v>199.99999999999994</v>
      </c>
      <c r="M11" s="85">
        <f>Technical!$B$30*F11-L11</f>
        <v>0</v>
      </c>
    </row>
    <row r="12" spans="1:13" x14ac:dyDescent="0.2">
      <c r="A12" s="93">
        <v>45866</v>
      </c>
      <c r="B12" s="58" t="s">
        <v>156</v>
      </c>
      <c r="C12" s="58" t="s">
        <v>165</v>
      </c>
      <c r="D12" s="94">
        <v>0.65625</v>
      </c>
      <c r="E12" s="94">
        <v>0.875</v>
      </c>
      <c r="F12" s="40">
        <f t="shared" si="0"/>
        <v>5.25</v>
      </c>
      <c r="G12" s="58">
        <v>0</v>
      </c>
      <c r="H12" s="58">
        <v>0</v>
      </c>
      <c r="I12" s="58" t="s">
        <v>166</v>
      </c>
      <c r="J12" s="87">
        <f t="shared" si="1"/>
        <v>0</v>
      </c>
      <c r="K12" s="85">
        <f>IF(AND(Sensitivity!$B$15=0,J12=1),MAX(0,K11-L11),Technical!$B$31)</f>
        <v>500</v>
      </c>
      <c r="L12" s="85">
        <f>MIN(Technical!$B$30*F12,K12)</f>
        <v>262.5</v>
      </c>
      <c r="M12" s="85">
        <f>Technical!$B$30*F12-L12</f>
        <v>0</v>
      </c>
    </row>
    <row r="13" spans="1:13" x14ac:dyDescent="0.2">
      <c r="A13" s="93">
        <v>45867</v>
      </c>
      <c r="B13" s="58" t="s">
        <v>156</v>
      </c>
      <c r="C13" s="58" t="s">
        <v>161</v>
      </c>
      <c r="D13" s="94">
        <v>0.58333333333333337</v>
      </c>
      <c r="E13" s="94">
        <v>0.86458333333333337</v>
      </c>
      <c r="F13" s="40">
        <f t="shared" si="0"/>
        <v>6.75</v>
      </c>
      <c r="G13" s="58">
        <v>0</v>
      </c>
      <c r="H13" s="58">
        <v>0</v>
      </c>
      <c r="I13" s="58" t="s">
        <v>167</v>
      </c>
      <c r="J13" s="87">
        <f t="shared" si="1"/>
        <v>1</v>
      </c>
      <c r="K13" s="85">
        <f>IF(AND(Sensitivity!$B$15=0,J13=1),MAX(0,K12-L12),Technical!$B$31)</f>
        <v>500</v>
      </c>
      <c r="L13" s="85">
        <f>MIN(Technical!$B$30*F13,K13)</f>
        <v>337.5</v>
      </c>
      <c r="M13" s="85">
        <f>Technical!$B$30*F13-L13</f>
        <v>0</v>
      </c>
    </row>
    <row r="14" spans="1:13" x14ac:dyDescent="0.2">
      <c r="A14" s="93">
        <v>46047</v>
      </c>
      <c r="B14" s="58" t="s">
        <v>168</v>
      </c>
      <c r="C14" s="58" t="s">
        <v>165</v>
      </c>
      <c r="D14" s="94">
        <v>0.60416666666666663</v>
      </c>
      <c r="E14" s="94">
        <v>0.79166666666666663</v>
      </c>
      <c r="F14" s="40">
        <f t="shared" si="0"/>
        <v>4.5</v>
      </c>
      <c r="G14" s="58">
        <v>0</v>
      </c>
      <c r="H14" s="58">
        <v>1</v>
      </c>
      <c r="I14" s="58" t="s">
        <v>169</v>
      </c>
      <c r="J14" s="87">
        <f t="shared" si="1"/>
        <v>0</v>
      </c>
      <c r="K14" s="85">
        <f>IF(AND(Sensitivity!$B$15=0,J14=1),MAX(0,K13-L13),Technical!$B$31)</f>
        <v>500</v>
      </c>
      <c r="L14" s="85">
        <f>MIN(Technical!$B$30*F14,K14)</f>
        <v>225</v>
      </c>
      <c r="M14" s="85">
        <f>Technical!$B$30*F14-L14</f>
        <v>0</v>
      </c>
    </row>
    <row r="15" spans="1:13" x14ac:dyDescent="0.2">
      <c r="A15" s="93">
        <v>46160</v>
      </c>
      <c r="B15" s="58" t="s">
        <v>156</v>
      </c>
      <c r="C15" s="58" t="s">
        <v>165</v>
      </c>
      <c r="D15" s="94">
        <v>0.625</v>
      </c>
      <c r="E15" s="94">
        <v>0.875</v>
      </c>
      <c r="F15" s="40">
        <f t="shared" si="0"/>
        <v>6</v>
      </c>
      <c r="G15" s="58">
        <v>0</v>
      </c>
      <c r="H15" s="58">
        <v>0</v>
      </c>
      <c r="I15" s="58" t="s">
        <v>170</v>
      </c>
      <c r="J15" s="87">
        <f t="shared" si="1"/>
        <v>0</v>
      </c>
      <c r="K15" s="85">
        <f>IF(AND(Sensitivity!$B$15=0,J15=1),MAX(0,K14-L14),Technical!$B$31)</f>
        <v>500</v>
      </c>
      <c r="L15" s="85">
        <f>MIN(Technical!$B$30*F15,K15)</f>
        <v>300</v>
      </c>
      <c r="M15" s="85">
        <f>Technical!$B$30*F15-L15</f>
        <v>0</v>
      </c>
    </row>
    <row r="16" spans="1:13" x14ac:dyDescent="0.2">
      <c r="A16" s="93">
        <v>46161</v>
      </c>
      <c r="B16" s="58" t="s">
        <v>156</v>
      </c>
      <c r="C16" s="58" t="s">
        <v>165</v>
      </c>
      <c r="D16" s="94">
        <v>0.58333333333333337</v>
      </c>
      <c r="E16" s="94">
        <v>0.89583333333333337</v>
      </c>
      <c r="F16" s="40">
        <f t="shared" si="0"/>
        <v>7.5</v>
      </c>
      <c r="G16" s="58">
        <v>0</v>
      </c>
      <c r="H16" s="58">
        <v>0</v>
      </c>
      <c r="I16" s="58" t="s">
        <v>171</v>
      </c>
      <c r="J16" s="87">
        <f t="shared" si="1"/>
        <v>1</v>
      </c>
      <c r="K16" s="85">
        <f>IF(AND(Sensitivity!$B$15=0,J16=1),MAX(0,K15-L15),Technical!$B$31)</f>
        <v>500</v>
      </c>
      <c r="L16" s="85">
        <f>MIN(Technical!$B$30*F16,K16)</f>
        <v>375</v>
      </c>
      <c r="M16" s="85">
        <f>Technical!$B$30*F16-L16</f>
        <v>0</v>
      </c>
    </row>
    <row r="17" spans="1:13" x14ac:dyDescent="0.2">
      <c r="A17" s="93">
        <v>46205</v>
      </c>
      <c r="B17" s="58" t="s">
        <v>172</v>
      </c>
      <c r="C17" s="58" t="s">
        <v>152</v>
      </c>
      <c r="D17" s="94">
        <v>0.5625</v>
      </c>
      <c r="E17" s="94">
        <v>0.89583333333333337</v>
      </c>
      <c r="F17" s="40">
        <f t="shared" si="0"/>
        <v>8</v>
      </c>
      <c r="G17" s="58">
        <v>0</v>
      </c>
      <c r="H17" s="58">
        <v>0</v>
      </c>
      <c r="I17" s="58" t="s">
        <v>173</v>
      </c>
      <c r="J17" s="87">
        <f t="shared" si="1"/>
        <v>0</v>
      </c>
      <c r="K17" s="85">
        <f>IF(AND(Sensitivity!$B$15=0,J17=1),MAX(0,K16-L16),Technical!$B$31)</f>
        <v>500</v>
      </c>
      <c r="L17" s="85">
        <f>MIN(Technical!$B$30*F17,K17)</f>
        <v>400</v>
      </c>
      <c r="M17" s="85">
        <f>Technical!$B$30*F17-L17</f>
        <v>0</v>
      </c>
    </row>
    <row r="18" spans="1:13" x14ac:dyDescent="0.2">
      <c r="A18" s="93">
        <v>46206</v>
      </c>
      <c r="B18" s="58" t="s">
        <v>172</v>
      </c>
      <c r="C18" s="58" t="s">
        <v>152</v>
      </c>
      <c r="D18" s="94">
        <v>0.5</v>
      </c>
      <c r="E18" s="94">
        <v>0.875</v>
      </c>
      <c r="F18" s="40">
        <f t="shared" si="0"/>
        <v>9</v>
      </c>
      <c r="G18" s="58">
        <v>0</v>
      </c>
      <c r="H18" s="58">
        <v>0</v>
      </c>
      <c r="I18" s="58" t="s">
        <v>174</v>
      </c>
      <c r="J18" s="87">
        <f t="shared" si="1"/>
        <v>1</v>
      </c>
      <c r="K18" s="85">
        <f>IF(AND(Sensitivity!$B$15=0,J18=1),MAX(0,K17-L17),Technical!$B$31)</f>
        <v>500</v>
      </c>
      <c r="L18" s="85">
        <f>MIN(Technical!$B$30*F18,K18)</f>
        <v>450</v>
      </c>
      <c r="M18" s="85">
        <f>Technical!$B$30*F18-L18</f>
        <v>0</v>
      </c>
    </row>
    <row r="19" spans="1:13" x14ac:dyDescent="0.2">
      <c r="A19" s="93">
        <v>46266</v>
      </c>
      <c r="B19" s="58" t="s">
        <v>156</v>
      </c>
      <c r="C19" s="58" t="s">
        <v>175</v>
      </c>
      <c r="D19" s="94">
        <v>0.76041666666666663</v>
      </c>
      <c r="E19" s="94">
        <v>0.91666666666666663</v>
      </c>
      <c r="F19" s="40">
        <f t="shared" si="0"/>
        <v>3.75</v>
      </c>
      <c r="G19" s="58">
        <v>0</v>
      </c>
      <c r="H19" s="58">
        <v>0</v>
      </c>
      <c r="I19" s="58" t="s">
        <v>176</v>
      </c>
      <c r="J19" s="87">
        <f t="shared" si="1"/>
        <v>0</v>
      </c>
      <c r="K19" s="85">
        <f>IF(AND(Sensitivity!$B$15=0,J19=1),MAX(0,K18-L18),Technical!$B$31)</f>
        <v>500</v>
      </c>
      <c r="L19" s="85">
        <f>MIN(Technical!$B$30*F19,K19)</f>
        <v>187.5</v>
      </c>
      <c r="M19" s="85">
        <f>Technical!$B$30*F19-L19</f>
        <v>0</v>
      </c>
    </row>
    <row r="20" spans="1:13" x14ac:dyDescent="0.2">
      <c r="A20" s="93">
        <v>46282</v>
      </c>
      <c r="B20" s="58" t="s">
        <v>172</v>
      </c>
      <c r="C20" s="58" t="s">
        <v>177</v>
      </c>
      <c r="D20" s="94">
        <v>0.60416666666666663</v>
      </c>
      <c r="E20" s="94">
        <v>0.91666666666666663</v>
      </c>
      <c r="F20" s="40">
        <f t="shared" si="0"/>
        <v>7.5</v>
      </c>
      <c r="G20" s="58">
        <v>0</v>
      </c>
      <c r="H20" s="58">
        <v>0</v>
      </c>
      <c r="I20" s="58" t="s">
        <v>178</v>
      </c>
      <c r="J20" s="87">
        <f t="shared" si="1"/>
        <v>0</v>
      </c>
      <c r="K20" s="85">
        <f>IF(AND(Sensitivity!$B$15=0,J20=1),MAX(0,K19-L19),Technical!$B$31)</f>
        <v>500</v>
      </c>
      <c r="L20" s="85">
        <f>MIN(Technical!$B$30*F20,K20)</f>
        <v>375</v>
      </c>
      <c r="M20" s="85">
        <f>Technical!$B$30*F20-L20</f>
        <v>0</v>
      </c>
    </row>
  </sheetData>
  <mergeCells count="3">
    <mergeCell ref="A3:I3"/>
    <mergeCell ref="J3:M3"/>
    <mergeCell ref="A1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"/>
  <sheetViews>
    <sheetView zoomScale="125" workbookViewId="0">
      <pane ySplit="2" topLeftCell="A44" activePane="bottomLeft" state="frozen"/>
      <selection pane="bottomLeft" activeCell="B55" sqref="B55"/>
    </sheetView>
  </sheetViews>
  <sheetFormatPr baseColWidth="10" defaultColWidth="8.83203125" defaultRowHeight="15" x14ac:dyDescent="0.2"/>
  <cols>
    <col min="1" max="1" width="54" style="16" customWidth="1"/>
    <col min="2" max="3" width="14" style="16" customWidth="1"/>
    <col min="4" max="6" width="8.83203125" style="16" customWidth="1"/>
    <col min="7" max="16384" width="8.83203125" style="16"/>
  </cols>
  <sheetData>
    <row r="1" spans="1:3" ht="16" customHeight="1" x14ac:dyDescent="0.2">
      <c r="A1" s="139" t="s">
        <v>179</v>
      </c>
      <c r="B1" s="116"/>
      <c r="C1" s="116"/>
    </row>
    <row r="2" spans="1:3" ht="15" customHeight="1" x14ac:dyDescent="0.2">
      <c r="A2" s="116"/>
      <c r="B2" s="116"/>
      <c r="C2" s="116"/>
    </row>
    <row r="3" spans="1:3" x14ac:dyDescent="0.2">
      <c r="A3" s="120" t="s">
        <v>499</v>
      </c>
      <c r="B3" s="116"/>
      <c r="C3" s="116"/>
    </row>
    <row r="4" spans="1:3" x14ac:dyDescent="0.2">
      <c r="A4" s="4" t="s">
        <v>28</v>
      </c>
      <c r="B4" s="18">
        <f>Inputs!$C$12</f>
        <v>50</v>
      </c>
      <c r="C4" s="4" t="s">
        <v>29</v>
      </c>
    </row>
    <row r="5" spans="1:3" x14ac:dyDescent="0.2">
      <c r="A5" s="4" t="s">
        <v>180</v>
      </c>
      <c r="B5" s="54">
        <f>Inputs!$C$13</f>
        <v>0.92320000000000002</v>
      </c>
      <c r="C5" s="4" t="s">
        <v>31</v>
      </c>
    </row>
    <row r="6" spans="1:3" x14ac:dyDescent="0.2">
      <c r="A6" s="4" t="s">
        <v>181</v>
      </c>
      <c r="B6" s="51">
        <f>B4*B5</f>
        <v>46.160000000000004</v>
      </c>
      <c r="C6" s="4" t="s">
        <v>182</v>
      </c>
    </row>
    <row r="7" spans="1:3" x14ac:dyDescent="0.2">
      <c r="A7" s="4" t="s">
        <v>183</v>
      </c>
      <c r="B7" s="19">
        <f>B4</f>
        <v>50</v>
      </c>
      <c r="C7" s="4" t="s">
        <v>29</v>
      </c>
    </row>
    <row r="8" spans="1:3" ht="28" customHeight="1" x14ac:dyDescent="0.2">
      <c r="A8" s="4" t="s">
        <v>184</v>
      </c>
      <c r="B8" s="20">
        <f>Inputs!$C$14</f>
        <v>0.9</v>
      </c>
      <c r="C8" s="4" t="s">
        <v>33</v>
      </c>
    </row>
    <row r="9" spans="1:3" x14ac:dyDescent="0.2">
      <c r="A9" s="4" t="s">
        <v>185</v>
      </c>
      <c r="B9" s="27">
        <f>B7*B8</f>
        <v>45</v>
      </c>
      <c r="C9" s="4" t="s">
        <v>182</v>
      </c>
    </row>
    <row r="10" spans="1:3" x14ac:dyDescent="0.2">
      <c r="A10" s="4" t="s">
        <v>186</v>
      </c>
      <c r="B10" s="21">
        <f>B9/B6</f>
        <v>0.97487001733102241</v>
      </c>
      <c r="C10" s="4" t="s">
        <v>33</v>
      </c>
    </row>
    <row r="11" spans="1:3" x14ac:dyDescent="0.2">
      <c r="A11" s="4" t="s">
        <v>187</v>
      </c>
      <c r="B11" s="51">
        <f>B6-B9</f>
        <v>1.1600000000000037</v>
      </c>
      <c r="C11" s="4" t="s">
        <v>182</v>
      </c>
    </row>
    <row r="12" spans="1:3" x14ac:dyDescent="0.2">
      <c r="A12" s="4" t="s">
        <v>188</v>
      </c>
      <c r="B12" s="19">
        <f>$B$7*Inputs!$C$15</f>
        <v>38</v>
      </c>
      <c r="C12" s="4" t="s">
        <v>182</v>
      </c>
    </row>
    <row r="13" spans="1:3" x14ac:dyDescent="0.2">
      <c r="A13" s="4" t="s">
        <v>189</v>
      </c>
      <c r="B13" s="24">
        <f>B12/$B$6</f>
        <v>0.82322357019064119</v>
      </c>
      <c r="C13" s="4" t="s">
        <v>33</v>
      </c>
    </row>
    <row r="14" spans="1:3" x14ac:dyDescent="0.2">
      <c r="A14" s="4" t="s">
        <v>190</v>
      </c>
      <c r="B14" s="51">
        <f>$B$6-B12</f>
        <v>8.1600000000000037</v>
      </c>
      <c r="C14" s="4" t="s">
        <v>182</v>
      </c>
    </row>
    <row r="15" spans="1:3" x14ac:dyDescent="0.2">
      <c r="A15" s="4" t="s">
        <v>36</v>
      </c>
      <c r="B15" s="23">
        <f>Inputs!$C$16</f>
        <v>1.54</v>
      </c>
      <c r="C15" s="4" t="s">
        <v>31</v>
      </c>
    </row>
    <row r="16" spans="1:3" x14ac:dyDescent="0.2">
      <c r="A16" s="4" t="s">
        <v>191</v>
      </c>
      <c r="B16" s="19">
        <f>$B$4/B15</f>
        <v>32.467532467532465</v>
      </c>
      <c r="C16" s="4" t="s">
        <v>192</v>
      </c>
    </row>
    <row r="17" spans="1:3" x14ac:dyDescent="0.2">
      <c r="A17" s="17"/>
      <c r="B17" s="17"/>
      <c r="C17" s="17"/>
    </row>
    <row r="18" spans="1:3" x14ac:dyDescent="0.2">
      <c r="A18" s="120" t="s">
        <v>500</v>
      </c>
      <c r="B18" s="116"/>
      <c r="C18" s="116"/>
    </row>
    <row r="19" spans="1:3" x14ac:dyDescent="0.2">
      <c r="A19" s="4" t="s">
        <v>193</v>
      </c>
      <c r="B19" s="55">
        <f>Inputs!$C$60</f>
        <v>9.7200000000000006</v>
      </c>
      <c r="C19" s="4" t="s">
        <v>21</v>
      </c>
    </row>
    <row r="20" spans="1:3" x14ac:dyDescent="0.2">
      <c r="A20" s="4" t="s">
        <v>194</v>
      </c>
      <c r="B20" s="25">
        <f>COUNT(Events!$F$5:$F$20)</f>
        <v>16</v>
      </c>
      <c r="C20" s="4" t="s">
        <v>195</v>
      </c>
    </row>
    <row r="21" spans="1:3" x14ac:dyDescent="0.2">
      <c r="A21" s="4" t="s">
        <v>196</v>
      </c>
      <c r="B21" s="40">
        <f>SUM(Events!$F$5:$F$20)</f>
        <v>102.66666666666666</v>
      </c>
      <c r="C21" s="4" t="s">
        <v>197</v>
      </c>
    </row>
    <row r="22" spans="1:3" x14ac:dyDescent="0.2">
      <c r="A22" s="4" t="s">
        <v>198</v>
      </c>
      <c r="B22" s="19">
        <f>B21/B19</f>
        <v>10.562414266117969</v>
      </c>
      <c r="C22" s="4" t="s">
        <v>199</v>
      </c>
    </row>
    <row r="23" spans="1:3" x14ac:dyDescent="0.2">
      <c r="A23" s="4" t="s">
        <v>200</v>
      </c>
      <c r="B23" s="25">
        <f>SUM(Events!$H$5:$H$20)</f>
        <v>4</v>
      </c>
      <c r="C23" s="4" t="s">
        <v>195</v>
      </c>
    </row>
    <row r="24" spans="1:3" x14ac:dyDescent="0.2">
      <c r="A24" s="4" t="s">
        <v>201</v>
      </c>
      <c r="B24" s="40">
        <f>MAX(Events!$F$5:$F$20)</f>
        <v>14.5</v>
      </c>
      <c r="C24" s="4" t="s">
        <v>197</v>
      </c>
    </row>
    <row r="25" spans="1:3" x14ac:dyDescent="0.2">
      <c r="A25" s="17"/>
      <c r="B25" s="17"/>
      <c r="C25" s="17"/>
    </row>
    <row r="26" spans="1:3" x14ac:dyDescent="0.2">
      <c r="A26" s="120" t="s">
        <v>202</v>
      </c>
      <c r="B26" s="116"/>
      <c r="C26" s="116"/>
    </row>
    <row r="27" spans="1:3" x14ac:dyDescent="0.2">
      <c r="A27" s="4" t="s">
        <v>203</v>
      </c>
      <c r="B27" s="27">
        <f>Sensitivity!$B$11</f>
        <v>10</v>
      </c>
      <c r="C27" s="4" t="s">
        <v>99</v>
      </c>
    </row>
    <row r="28" spans="1:3" x14ac:dyDescent="0.2">
      <c r="A28" s="4" t="s">
        <v>204</v>
      </c>
      <c r="B28" s="26">
        <f>SUMPRODUCT(--(Events!$M$5:$M$20&lt;0.001))</f>
        <v>15</v>
      </c>
      <c r="C28" s="4" t="s">
        <v>195</v>
      </c>
    </row>
    <row r="29" spans="1:3" x14ac:dyDescent="0.2">
      <c r="A29" s="4" t="s">
        <v>205</v>
      </c>
      <c r="B29" s="24">
        <f>B28/B20</f>
        <v>0.9375</v>
      </c>
      <c r="C29" s="4" t="s">
        <v>33</v>
      </c>
    </row>
    <row r="30" spans="1:3" x14ac:dyDescent="0.2">
      <c r="A30" s="4" t="s">
        <v>206</v>
      </c>
      <c r="B30" s="19">
        <f>$B$7</f>
        <v>50</v>
      </c>
      <c r="C30" s="4" t="s">
        <v>29</v>
      </c>
    </row>
    <row r="31" spans="1:3" x14ac:dyDescent="0.2">
      <c r="A31" s="4" t="s">
        <v>207</v>
      </c>
      <c r="B31" s="26">
        <f>B30*B27</f>
        <v>500</v>
      </c>
      <c r="C31" s="4" t="s">
        <v>208</v>
      </c>
    </row>
    <row r="32" spans="1:3" x14ac:dyDescent="0.2">
      <c r="A32" s="4" t="s">
        <v>209</v>
      </c>
      <c r="B32" s="25">
        <f>$B$30*1000</f>
        <v>50000</v>
      </c>
      <c r="C32" s="4" t="s">
        <v>210</v>
      </c>
    </row>
    <row r="33" spans="1:3" x14ac:dyDescent="0.2">
      <c r="A33" s="4" t="s">
        <v>211</v>
      </c>
      <c r="B33" s="25">
        <f>$B$31*1000</f>
        <v>500000</v>
      </c>
      <c r="C33" s="4" t="s">
        <v>212</v>
      </c>
    </row>
    <row r="34" spans="1:3" x14ac:dyDescent="0.2">
      <c r="A34" s="4" t="s">
        <v>213</v>
      </c>
      <c r="B34" s="25">
        <f>$B$4*1000</f>
        <v>50000</v>
      </c>
      <c r="C34" s="4" t="s">
        <v>210</v>
      </c>
    </row>
    <row r="35" spans="1:3" x14ac:dyDescent="0.2">
      <c r="A35" s="17"/>
      <c r="B35" s="17"/>
      <c r="C35" s="17"/>
    </row>
    <row r="36" spans="1:3" x14ac:dyDescent="0.2">
      <c r="A36" s="120" t="s">
        <v>501</v>
      </c>
      <c r="B36" s="116"/>
      <c r="C36" s="116"/>
    </row>
    <row r="37" spans="1:3" x14ac:dyDescent="0.2">
      <c r="A37" s="4" t="s">
        <v>214</v>
      </c>
      <c r="B37" s="19">
        <f>SUM(Events!$L$5:$L$20)/B19</f>
        <v>504.97256515775035</v>
      </c>
      <c r="C37" s="4" t="s">
        <v>215</v>
      </c>
    </row>
    <row r="38" spans="1:3" x14ac:dyDescent="0.2">
      <c r="A38" s="4" t="s">
        <v>216</v>
      </c>
      <c r="B38" s="19">
        <f>B37/Inputs!$C$17</f>
        <v>594.08537077382391</v>
      </c>
      <c r="C38" s="4" t="s">
        <v>215</v>
      </c>
    </row>
    <row r="39" spans="1:3" x14ac:dyDescent="0.2">
      <c r="A39" s="4" t="s">
        <v>217</v>
      </c>
      <c r="B39" s="19">
        <f>B38-B37</f>
        <v>89.112805616073558</v>
      </c>
      <c r="C39" s="4" t="s">
        <v>215</v>
      </c>
    </row>
    <row r="40" spans="1:3" x14ac:dyDescent="0.2">
      <c r="A40" s="4" t="s">
        <v>218</v>
      </c>
      <c r="B40" s="40">
        <f>SUMPRODUCT((Events!$G$5:$G$20=1)*Events!$M$5:$M$20)/B19</f>
        <v>23.148148148148145</v>
      </c>
      <c r="C40" s="4" t="s">
        <v>215</v>
      </c>
    </row>
    <row r="41" spans="1:3" x14ac:dyDescent="0.2">
      <c r="A41" s="4" t="s">
        <v>219</v>
      </c>
      <c r="B41" s="40">
        <f>SUMPRODUCT((Events!$G$5:$G$20=0)*Events!$M$5:$M$20)/B19</f>
        <v>0</v>
      </c>
      <c r="C41" s="4" t="s">
        <v>215</v>
      </c>
    </row>
    <row r="42" spans="1:3" x14ac:dyDescent="0.2">
      <c r="A42" s="4" t="s">
        <v>220</v>
      </c>
      <c r="B42" s="40">
        <f>Inputs!$C$61*SUMPRODUCT((Events!$G$5:$G$20=1)*Events!$L$5:$L$20)/B19</f>
        <v>7.3580246913580236</v>
      </c>
      <c r="C42" s="4" t="s">
        <v>215</v>
      </c>
    </row>
    <row r="43" spans="1:3" x14ac:dyDescent="0.2">
      <c r="A43" s="4" t="s">
        <v>221</v>
      </c>
      <c r="B43" s="40">
        <f>Inputs!$C$61*SUMPRODUCT((Events!$G$5:$G$20=0)*Events!$L$5:$L$20)/B19</f>
        <v>37.786522633744852</v>
      </c>
      <c r="C43" s="4" t="s">
        <v>215</v>
      </c>
    </row>
    <row r="44" spans="1:3" x14ac:dyDescent="0.2">
      <c r="A44" s="4" t="s">
        <v>222</v>
      </c>
      <c r="B44" s="25">
        <f>Inputs!$C$62*365/30</f>
        <v>3185.1116666666667</v>
      </c>
      <c r="C44" s="4" t="s">
        <v>55</v>
      </c>
    </row>
    <row r="45" spans="1:3" x14ac:dyDescent="0.2">
      <c r="A45" s="4" t="s">
        <v>223</v>
      </c>
      <c r="B45" s="56">
        <f>((B40+B42)*B44+(B41+B43)*B44*Inputs!$C$63)/10^6</f>
        <v>0.15734271405821329</v>
      </c>
      <c r="C45" s="4" t="s">
        <v>224</v>
      </c>
    </row>
  </sheetData>
  <mergeCells count="5">
    <mergeCell ref="A18:C18"/>
    <mergeCell ref="A1:C2"/>
    <mergeCell ref="A3:C3"/>
    <mergeCell ref="A26:C26"/>
    <mergeCell ref="A36:C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zoomScale="94" zoomScaleNormal="94" workbookViewId="0">
      <selection sqref="A1:C26"/>
    </sheetView>
  </sheetViews>
  <sheetFormatPr baseColWidth="10" defaultColWidth="8.83203125" defaultRowHeight="15" x14ac:dyDescent="0.2"/>
  <cols>
    <col min="1" max="1" width="56" customWidth="1"/>
    <col min="2" max="2" width="14" customWidth="1"/>
    <col min="3" max="3" width="16" customWidth="1"/>
  </cols>
  <sheetData>
    <row r="1" spans="1:3" ht="16" customHeight="1" x14ac:dyDescent="0.2">
      <c r="A1" s="115" t="s">
        <v>225</v>
      </c>
      <c r="B1" s="118"/>
      <c r="C1" s="118"/>
    </row>
    <row r="2" spans="1:3" ht="15" customHeight="1" x14ac:dyDescent="0.2">
      <c r="A2" s="118"/>
      <c r="B2" s="118"/>
      <c r="C2" s="118"/>
    </row>
    <row r="3" spans="1:3" x14ac:dyDescent="0.2">
      <c r="A3" s="140" t="s">
        <v>226</v>
      </c>
      <c r="B3" s="118"/>
      <c r="C3" s="118"/>
    </row>
    <row r="4" spans="1:3" x14ac:dyDescent="0.2">
      <c r="A4" s="29" t="s">
        <v>227</v>
      </c>
      <c r="B4" s="30">
        <f>Technical!$B$33*Inputs!$C$19*Sensitivity!$B$8/10^6</f>
        <v>106.04</v>
      </c>
      <c r="C4" s="29" t="s">
        <v>228</v>
      </c>
    </row>
    <row r="5" spans="1:3" x14ac:dyDescent="0.2">
      <c r="A5" s="29" t="s">
        <v>229</v>
      </c>
      <c r="B5" s="30">
        <f>Technical!$B$32*Inputs!$C$20*Sensitivity!$B$8/10^6</f>
        <v>16.367999999999999</v>
      </c>
      <c r="C5" s="29" t="s">
        <v>228</v>
      </c>
    </row>
    <row r="6" spans="1:3" x14ac:dyDescent="0.2">
      <c r="A6" s="29" t="s">
        <v>230</v>
      </c>
      <c r="B6" s="30">
        <f>$B$4+$B$5</f>
        <v>122.408</v>
      </c>
      <c r="C6" s="29" t="s">
        <v>228</v>
      </c>
    </row>
    <row r="7" spans="1:3" x14ac:dyDescent="0.2">
      <c r="A7" s="29" t="s">
        <v>231</v>
      </c>
      <c r="B7" s="30">
        <f>$B$6*10^6/Technical!$B$33</f>
        <v>244.816</v>
      </c>
      <c r="C7" s="29" t="s">
        <v>40</v>
      </c>
    </row>
    <row r="8" spans="1:3" x14ac:dyDescent="0.2">
      <c r="A8" s="29" t="s">
        <v>232</v>
      </c>
      <c r="B8" s="31">
        <f>(1+Inputs!$C$8)^(Inputs!$C$6-Inputs!$C$9)</f>
        <v>1.1038128906249998</v>
      </c>
      <c r="C8" s="29" t="s">
        <v>94</v>
      </c>
    </row>
    <row r="9" spans="1:3" x14ac:dyDescent="0.2">
      <c r="A9" s="32" t="s">
        <v>233</v>
      </c>
      <c r="B9" s="33">
        <f>$B$6*$B$8</f>
        <v>135.11552831562497</v>
      </c>
      <c r="C9" s="29" t="s">
        <v>228</v>
      </c>
    </row>
    <row r="10" spans="1:3" x14ac:dyDescent="0.2">
      <c r="A10" s="29" t="s">
        <v>234</v>
      </c>
      <c r="B10" s="34">
        <f>$B$9*10^6/Technical!$B$32</f>
        <v>2702.3105663124998</v>
      </c>
      <c r="C10" s="29" t="s">
        <v>42</v>
      </c>
    </row>
    <row r="11" spans="1:3" x14ac:dyDescent="0.2">
      <c r="A11" s="29" t="s">
        <v>235</v>
      </c>
      <c r="B11" s="30">
        <f>Sensitivity!$B$13*$B$9</f>
        <v>40.534658494687491</v>
      </c>
      <c r="C11" s="29" t="s">
        <v>228</v>
      </c>
    </row>
    <row r="12" spans="1:3" x14ac:dyDescent="0.2">
      <c r="A12" s="32" t="s">
        <v>236</v>
      </c>
      <c r="B12" s="33">
        <f>$B$11*Inputs!$C$22</f>
        <v>36.481192645218741</v>
      </c>
      <c r="C12" s="29" t="s">
        <v>228</v>
      </c>
    </row>
    <row r="13" spans="1:3" x14ac:dyDescent="0.2">
      <c r="A13" s="29" t="s">
        <v>237</v>
      </c>
      <c r="B13" s="30">
        <f>$B$9-Inputs!$C$23*$B$11</f>
        <v>114.84819906828122</v>
      </c>
      <c r="C13" s="29" t="s">
        <v>228</v>
      </c>
    </row>
    <row r="14" spans="1:3" x14ac:dyDescent="0.2">
      <c r="A14" s="28"/>
      <c r="B14" s="28"/>
      <c r="C14" s="28"/>
    </row>
    <row r="15" spans="1:3" x14ac:dyDescent="0.2">
      <c r="A15" s="140" t="s">
        <v>238</v>
      </c>
      <c r="B15" s="118"/>
      <c r="C15" s="118"/>
    </row>
    <row r="16" spans="1:3" ht="28" customHeight="1" x14ac:dyDescent="0.2">
      <c r="A16" s="29" t="s">
        <v>239</v>
      </c>
      <c r="B16" s="30">
        <f>Sensitivity!$B$10*$B$6*(1+Inputs!$C$8)^(Inputs!$C$6+1-Inputs!$C$9)</f>
        <v>5.5397366609406236</v>
      </c>
      <c r="C16" s="29" t="s">
        <v>224</v>
      </c>
    </row>
    <row r="17" spans="1:3" x14ac:dyDescent="0.2">
      <c r="A17" s="29" t="s">
        <v>240</v>
      </c>
      <c r="B17" s="30">
        <f>Inputs!$C$27*$B$9</f>
        <v>1.1349704378512497</v>
      </c>
      <c r="C17" s="29" t="s">
        <v>224</v>
      </c>
    </row>
    <row r="18" spans="1:3" x14ac:dyDescent="0.2">
      <c r="A18" s="29" t="s">
        <v>241</v>
      </c>
      <c r="B18" s="30">
        <f>Inputs!$C$26*$B$9</f>
        <v>0.54046211326249993</v>
      </c>
      <c r="C18" s="29" t="s">
        <v>224</v>
      </c>
    </row>
    <row r="19" spans="1:3" x14ac:dyDescent="0.2">
      <c r="A19" s="29" t="s">
        <v>242</v>
      </c>
      <c r="B19" s="35">
        <f>Technical!$B$39*Inputs!$C$28*(1+Inputs!$C$8)^(Inputs!$C$6+1-Inputs!$C$10)/10^6</f>
        <v>4.6752344349489019E-3</v>
      </c>
      <c r="C19" s="29" t="s">
        <v>224</v>
      </c>
    </row>
    <row r="20" spans="1:3" x14ac:dyDescent="0.2">
      <c r="A20" s="29" t="s">
        <v>243</v>
      </c>
      <c r="B20" s="35">
        <f>Technical!$B$45</f>
        <v>0.15734271405821329</v>
      </c>
      <c r="C20" s="29" t="s">
        <v>224</v>
      </c>
    </row>
    <row r="21" spans="1:3" x14ac:dyDescent="0.2">
      <c r="A21" s="32" t="s">
        <v>244</v>
      </c>
      <c r="B21" s="33">
        <f>$B$16+$B$17+$B$18+$B$19+$B$20</f>
        <v>7.3771871605475345</v>
      </c>
      <c r="C21" s="29" t="s">
        <v>224</v>
      </c>
    </row>
    <row r="22" spans="1:3" x14ac:dyDescent="0.2">
      <c r="A22" s="140" t="s">
        <v>245</v>
      </c>
      <c r="B22" s="118"/>
      <c r="C22" s="118"/>
    </row>
    <row r="23" spans="1:3" x14ac:dyDescent="0.2">
      <c r="A23" s="29" t="s">
        <v>246</v>
      </c>
      <c r="B23" s="36">
        <f>Inputs!$C$37+Inputs!$C$38*(1-Inputs!$C$37)</f>
        <v>0.25739999999999996</v>
      </c>
      <c r="C23" s="29" t="s">
        <v>33</v>
      </c>
    </row>
    <row r="24" spans="1:3" x14ac:dyDescent="0.2">
      <c r="A24" s="29" t="s">
        <v>247</v>
      </c>
      <c r="B24" s="37">
        <f>1-CashFlow!$C$39</f>
        <v>0.25061535061762363</v>
      </c>
      <c r="C24" s="29" t="s">
        <v>33</v>
      </c>
    </row>
    <row r="25" spans="1:3" x14ac:dyDescent="0.2">
      <c r="A25" s="29" t="s">
        <v>248</v>
      </c>
      <c r="B25" s="36">
        <f>IF($B$24&gt;=Inputs!$C$52,Inputs!$C$51+Inputs!$C$53,IF($B$24&gt;=Inputs!$C$50,Inputs!$C$51,0))</f>
        <v>2.5000000000000001E-3</v>
      </c>
      <c r="C25" s="29" t="s">
        <v>33</v>
      </c>
    </row>
    <row r="26" spans="1:3" x14ac:dyDescent="0.2">
      <c r="A26" s="32" t="s">
        <v>249</v>
      </c>
      <c r="B26" s="38">
        <f>Sensitivity!$B$14+Inputs!$C$48+Inputs!$C$49+$B$25</f>
        <v>7.0200000000000012E-2</v>
      </c>
      <c r="C26" s="29" t="s">
        <v>33</v>
      </c>
    </row>
  </sheetData>
  <mergeCells count="4">
    <mergeCell ref="A22:C22"/>
    <mergeCell ref="A15:C15"/>
    <mergeCell ref="A1:C2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6"/>
  <sheetViews>
    <sheetView zoomScale="50" workbookViewId="0">
      <pane xSplit="2" ySplit="4" topLeftCell="C5" activePane="bottomRight" state="frozen"/>
      <selection pane="topRight"/>
      <selection pane="bottomLeft"/>
      <selection pane="bottomRight" activeCell="B29" sqref="B29"/>
    </sheetView>
  </sheetViews>
  <sheetFormatPr baseColWidth="10" defaultColWidth="8.83203125" defaultRowHeight="15" x14ac:dyDescent="0.2"/>
  <cols>
    <col min="1" max="1" width="70.1640625" style="16" customWidth="1"/>
    <col min="2" max="2" width="12" style="16" customWidth="1"/>
    <col min="3" max="18" width="10" style="16" customWidth="1"/>
    <col min="19" max="21" width="8.83203125" style="16" customWidth="1"/>
    <col min="22" max="16384" width="8.83203125" style="16"/>
  </cols>
  <sheetData>
    <row r="1" spans="1:18" ht="16" customHeight="1" x14ac:dyDescent="0.2">
      <c r="A1" s="117" t="s">
        <v>250</v>
      </c>
      <c r="B1" s="116"/>
      <c r="C1" s="115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18" ht="15" customHeight="1" x14ac:dyDescent="0.2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</row>
    <row r="3" spans="1:18" x14ac:dyDescent="0.2">
      <c r="A3" s="2" t="s">
        <v>251</v>
      </c>
      <c r="B3" s="46"/>
      <c r="C3" s="47">
        <v>0</v>
      </c>
      <c r="D3" s="47">
        <v>1</v>
      </c>
      <c r="E3" s="47">
        <v>2</v>
      </c>
      <c r="F3" s="47">
        <v>3</v>
      </c>
      <c r="G3" s="47">
        <v>4</v>
      </c>
      <c r="H3" s="47">
        <v>5</v>
      </c>
      <c r="I3" s="47">
        <v>6</v>
      </c>
      <c r="J3" s="47">
        <v>7</v>
      </c>
      <c r="K3" s="47">
        <v>8</v>
      </c>
      <c r="L3" s="47">
        <v>9</v>
      </c>
      <c r="M3" s="47">
        <v>10</v>
      </c>
      <c r="N3" s="47">
        <v>11</v>
      </c>
      <c r="O3" s="47">
        <v>12</v>
      </c>
      <c r="P3" s="47">
        <v>13</v>
      </c>
      <c r="Q3" s="47">
        <v>14</v>
      </c>
      <c r="R3" s="47">
        <v>15</v>
      </c>
    </row>
    <row r="4" spans="1:18" x14ac:dyDescent="0.2">
      <c r="A4" s="2" t="s">
        <v>252</v>
      </c>
      <c r="B4" s="46"/>
      <c r="C4" s="2" t="str">
        <f>TEXT(Inputs!$C$6+C3,"0")&amp;"/"&amp;RIGHT(TEXT(Inputs!$C$6+C3+1,"0"),2)</f>
        <v>2028/29</v>
      </c>
      <c r="D4" s="2" t="str">
        <f>TEXT(Inputs!$C$6+D3,"0")&amp;"/"&amp;RIGHT(TEXT(Inputs!$C$6+D3+1,"0"),2)</f>
        <v>2029/30</v>
      </c>
      <c r="E4" s="2" t="str">
        <f>TEXT(Inputs!$C$6+E3,"0")&amp;"/"&amp;RIGHT(TEXT(Inputs!$C$6+E3+1,"0"),2)</f>
        <v>2030/31</v>
      </c>
      <c r="F4" s="2" t="str">
        <f>TEXT(Inputs!$C$6+F3,"0")&amp;"/"&amp;RIGHT(TEXT(Inputs!$C$6+F3+1,"0"),2)</f>
        <v>2031/32</v>
      </c>
      <c r="G4" s="2" t="str">
        <f>TEXT(Inputs!$C$6+G3,"0")&amp;"/"&amp;RIGHT(TEXT(Inputs!$C$6+G3+1,"0"),2)</f>
        <v>2032/33</v>
      </c>
      <c r="H4" s="2" t="str">
        <f>TEXT(Inputs!$C$6+H3,"0")&amp;"/"&amp;RIGHT(TEXT(Inputs!$C$6+H3+1,"0"),2)</f>
        <v>2033/34</v>
      </c>
      <c r="I4" s="2" t="str">
        <f>TEXT(Inputs!$C$6+I3,"0")&amp;"/"&amp;RIGHT(TEXT(Inputs!$C$6+I3+1,"0"),2)</f>
        <v>2034/35</v>
      </c>
      <c r="J4" s="2" t="str">
        <f>TEXT(Inputs!$C$6+J3,"0")&amp;"/"&amp;RIGHT(TEXT(Inputs!$C$6+J3+1,"0"),2)</f>
        <v>2035/36</v>
      </c>
      <c r="K4" s="2" t="str">
        <f>TEXT(Inputs!$C$6+K3,"0")&amp;"/"&amp;RIGHT(TEXT(Inputs!$C$6+K3+1,"0"),2)</f>
        <v>2036/37</v>
      </c>
      <c r="L4" s="2" t="str">
        <f>TEXT(Inputs!$C$6+L3,"0")&amp;"/"&amp;RIGHT(TEXT(Inputs!$C$6+L3+1,"0"),2)</f>
        <v>2037/38</v>
      </c>
      <c r="M4" s="2" t="str">
        <f>TEXT(Inputs!$C$6+M3,"0")&amp;"/"&amp;RIGHT(TEXT(Inputs!$C$6+M3+1,"0"),2)</f>
        <v>2038/39</v>
      </c>
      <c r="N4" s="2" t="str">
        <f>TEXT(Inputs!$C$6+N3,"0")&amp;"/"&amp;RIGHT(TEXT(Inputs!$C$6+N3+1,"0"),2)</f>
        <v>2039/40</v>
      </c>
      <c r="O4" s="2" t="str">
        <f>TEXT(Inputs!$C$6+O3,"0")&amp;"/"&amp;RIGHT(TEXT(Inputs!$C$6+O3+1,"0"),2)</f>
        <v>2040/41</v>
      </c>
      <c r="P4" s="2" t="str">
        <f>TEXT(Inputs!$C$6+P3,"0")&amp;"/"&amp;RIGHT(TEXT(Inputs!$C$6+P3+1,"0"),2)</f>
        <v>2041/42</v>
      </c>
      <c r="Q4" s="2" t="str">
        <f>TEXT(Inputs!$C$6+Q3,"0")&amp;"/"&amp;RIGHT(TEXT(Inputs!$C$6+Q3+1,"0"),2)</f>
        <v>2042/43</v>
      </c>
      <c r="R4" s="2" t="str">
        <f>TEXT(Inputs!$C$6+R3,"0")&amp;"/"&amp;RIGHT(TEXT(Inputs!$C$6+R3+1,"0"),2)</f>
        <v>2043/44</v>
      </c>
    </row>
    <row r="5" spans="1:18" x14ac:dyDescent="0.2">
      <c r="A5" s="4" t="s">
        <v>253</v>
      </c>
      <c r="B5" s="4" t="s">
        <v>254</v>
      </c>
      <c r="C5" s="25">
        <f>IF(AND(C3&gt;=1,C3&lt;=Inputs!$C$7),1,0)</f>
        <v>0</v>
      </c>
      <c r="D5" s="25">
        <f>IF(AND(D3&gt;=1,D3&lt;=Inputs!$C$7),1,0)</f>
        <v>1</v>
      </c>
      <c r="E5" s="25">
        <f>IF(AND(E3&gt;=1,E3&lt;=Inputs!$C$7),1,0)</f>
        <v>1</v>
      </c>
      <c r="F5" s="25">
        <f>IF(AND(F3&gt;=1,F3&lt;=Inputs!$C$7),1,0)</f>
        <v>1</v>
      </c>
      <c r="G5" s="25">
        <f>IF(AND(G3&gt;=1,G3&lt;=Inputs!$C$7),1,0)</f>
        <v>1</v>
      </c>
      <c r="H5" s="25">
        <f>IF(AND(H3&gt;=1,H3&lt;=Inputs!$C$7),1,0)</f>
        <v>1</v>
      </c>
      <c r="I5" s="25">
        <f>IF(AND(I3&gt;=1,I3&lt;=Inputs!$C$7),1,0)</f>
        <v>1</v>
      </c>
      <c r="J5" s="25">
        <f>IF(AND(J3&gt;=1,J3&lt;=Inputs!$C$7),1,0)</f>
        <v>1</v>
      </c>
      <c r="K5" s="25">
        <f>IF(AND(K3&gt;=1,K3&lt;=Inputs!$C$7),1,0)</f>
        <v>1</v>
      </c>
      <c r="L5" s="25">
        <f>IF(AND(L3&gt;=1,L3&lt;=Inputs!$C$7),1,0)</f>
        <v>1</v>
      </c>
      <c r="M5" s="25">
        <f>IF(AND(M3&gt;=1,M3&lt;=Inputs!$C$7),1,0)</f>
        <v>1</v>
      </c>
      <c r="N5" s="25">
        <f>IF(AND(N3&gt;=1,N3&lt;=Inputs!$C$7),1,0)</f>
        <v>1</v>
      </c>
      <c r="O5" s="25">
        <f>IF(AND(O3&gt;=1,O3&lt;=Inputs!$C$7),1,0)</f>
        <v>1</v>
      </c>
      <c r="P5" s="25">
        <f>IF(AND(P3&gt;=1,P3&lt;=Inputs!$C$7),1,0)</f>
        <v>1</v>
      </c>
      <c r="Q5" s="25">
        <f>IF(AND(Q3&gt;=1,Q3&lt;=Inputs!$C$7),1,0)</f>
        <v>1</v>
      </c>
      <c r="R5" s="25">
        <f>IF(AND(R3&gt;=1,R3&lt;=Inputs!$C$7),1,0)</f>
        <v>1</v>
      </c>
    </row>
    <row r="6" spans="1:18" x14ac:dyDescent="0.2">
      <c r="A6" s="4" t="s">
        <v>255</v>
      </c>
      <c r="B6" s="4" t="s">
        <v>254</v>
      </c>
      <c r="C6" s="25">
        <f>IF(AND(C3&gt;=1,C3&lt;=Inputs!$C$54),1,0)</f>
        <v>0</v>
      </c>
      <c r="D6" s="25">
        <f>IF(AND(D3&gt;=1,D3&lt;=Inputs!$C$54),1,0)</f>
        <v>1</v>
      </c>
      <c r="E6" s="25">
        <f>IF(AND(E3&gt;=1,E3&lt;=Inputs!$C$54),1,0)</f>
        <v>1</v>
      </c>
      <c r="F6" s="25">
        <f>IF(AND(F3&gt;=1,F3&lt;=Inputs!$C$54),1,0)</f>
        <v>1</v>
      </c>
      <c r="G6" s="25">
        <f>IF(AND(G3&gt;=1,G3&lt;=Inputs!$C$54),1,0)</f>
        <v>1</v>
      </c>
      <c r="H6" s="25">
        <f>IF(AND(H3&gt;=1,H3&lt;=Inputs!$C$54),1,0)</f>
        <v>1</v>
      </c>
      <c r="I6" s="25">
        <f>IF(AND(I3&gt;=1,I3&lt;=Inputs!$C$54),1,0)</f>
        <v>1</v>
      </c>
      <c r="J6" s="25">
        <f>IF(AND(J3&gt;=1,J3&lt;=Inputs!$C$54),1,0)</f>
        <v>1</v>
      </c>
      <c r="K6" s="25">
        <f>IF(AND(K3&gt;=1,K3&lt;=Inputs!$C$54),1,0)</f>
        <v>1</v>
      </c>
      <c r="L6" s="25">
        <f>IF(AND(L3&gt;=1,L3&lt;=Inputs!$C$54),1,0)</f>
        <v>1</v>
      </c>
      <c r="M6" s="25">
        <f>IF(AND(M3&gt;=1,M3&lt;=Inputs!$C$54),1,0)</f>
        <v>1</v>
      </c>
      <c r="N6" s="25">
        <f>IF(AND(N3&gt;=1,N3&lt;=Inputs!$C$54),1,0)</f>
        <v>1</v>
      </c>
      <c r="O6" s="25">
        <f>IF(AND(O3&gt;=1,O3&lt;=Inputs!$C$54),1,0)</f>
        <v>1</v>
      </c>
      <c r="P6" s="25">
        <f>IF(AND(P3&gt;=1,P3&lt;=Inputs!$C$54),1,0)</f>
        <v>1</v>
      </c>
      <c r="Q6" s="25">
        <f>IF(AND(Q3&gt;=1,Q3&lt;=Inputs!$C$54),1,0)</f>
        <v>1</v>
      </c>
      <c r="R6" s="25">
        <f>IF(AND(R3&gt;=1,R3&lt;=Inputs!$C$54),1,0)</f>
        <v>1</v>
      </c>
    </row>
    <row r="7" spans="1:18" x14ac:dyDescent="0.2">
      <c r="A7" s="4" t="s">
        <v>517</v>
      </c>
      <c r="B7" s="4" t="s">
        <v>29</v>
      </c>
      <c r="C7" s="40">
        <f>IF(C5=1,Technical!$B$7*INDEX(Inputs!$C$65:$C$79,C3),0)</f>
        <v>0</v>
      </c>
      <c r="D7" s="40">
        <f>IF(D5=1,Technical!$B$7*INDEX(Inputs!$C$65:$C$79,D3),0)</f>
        <v>45</v>
      </c>
      <c r="E7" s="40">
        <f>IF(E5=1,Technical!$B$7*INDEX(Inputs!$C$65:$C$79,E3),0)</f>
        <v>42</v>
      </c>
      <c r="F7" s="40">
        <f>IF(F5=1,Technical!$B$7*INDEX(Inputs!$C$65:$C$79,F3),0)</f>
        <v>41</v>
      </c>
      <c r="G7" s="40">
        <f>IF(G5=1,Technical!$B$7*INDEX(Inputs!$C$65:$C$79,G3),0)</f>
        <v>41</v>
      </c>
      <c r="H7" s="40">
        <f>IF(H5=1,Technical!$B$7*INDEX(Inputs!$C$65:$C$79,H3),0)</f>
        <v>40</v>
      </c>
      <c r="I7" s="40">
        <f>IF(I5=1,Technical!$B$7*INDEX(Inputs!$C$65:$C$79,I3),0)</f>
        <v>39</v>
      </c>
      <c r="J7" s="40">
        <f>IF(J5=1,Technical!$B$7*INDEX(Inputs!$C$65:$C$79,J3),0)</f>
        <v>38</v>
      </c>
      <c r="K7" s="40">
        <f>IF(K5=1,Technical!$B$7*INDEX(Inputs!$C$65:$C$79,K3),0)</f>
        <v>37.5</v>
      </c>
      <c r="L7" s="40">
        <f>IF(L5=1,Technical!$B$7*INDEX(Inputs!$C$65:$C$79,L3),0)</f>
        <v>38</v>
      </c>
      <c r="M7" s="40">
        <f>IF(M5=1,Technical!$B$7*INDEX(Inputs!$C$65:$C$79,M3),0)</f>
        <v>38.5</v>
      </c>
      <c r="N7" s="40">
        <f>IF(N5=1,Technical!$B$7*INDEX(Inputs!$C$65:$C$79,N3),0)</f>
        <v>38.5</v>
      </c>
      <c r="O7" s="40">
        <f>IF(O5=1,Technical!$B$7*INDEX(Inputs!$C$65:$C$79,O3),0)</f>
        <v>37.5</v>
      </c>
      <c r="P7" s="40">
        <f>IF(P5=1,Technical!$B$7*INDEX(Inputs!$C$65:$C$79,P3),0)</f>
        <v>37.5</v>
      </c>
      <c r="Q7" s="40">
        <f>IF(Q5=1,Technical!$B$7*INDEX(Inputs!$C$65:$C$79,Q3),0)</f>
        <v>37.5</v>
      </c>
      <c r="R7" s="40">
        <f>IF(R5=1,Technical!$B$7*INDEX(Inputs!$C$65:$C$79,R3),0)</f>
        <v>37.5</v>
      </c>
    </row>
    <row r="8" spans="1:18" x14ac:dyDescent="0.2">
      <c r="A8" s="3" t="s">
        <v>256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</row>
    <row r="9" spans="1:18" x14ac:dyDescent="0.2">
      <c r="A9" s="4" t="s">
        <v>257</v>
      </c>
      <c r="B9" s="4" t="s">
        <v>210</v>
      </c>
      <c r="C9" s="25">
        <f>Technical!$B$34*C5</f>
        <v>0</v>
      </c>
      <c r="D9" s="25">
        <f>Technical!$B$34*D5</f>
        <v>50000</v>
      </c>
      <c r="E9" s="25">
        <f>Technical!$B$34*E5</f>
        <v>50000</v>
      </c>
      <c r="F9" s="25">
        <f>Technical!$B$34*F5</f>
        <v>50000</v>
      </c>
      <c r="G9" s="25">
        <f>Technical!$B$34*G5</f>
        <v>50000</v>
      </c>
      <c r="H9" s="25">
        <f>Technical!$B$34*H5</f>
        <v>50000</v>
      </c>
      <c r="I9" s="25">
        <f>Technical!$B$34*I5</f>
        <v>50000</v>
      </c>
      <c r="J9" s="25">
        <f>Technical!$B$34*J5</f>
        <v>50000</v>
      </c>
      <c r="K9" s="25">
        <f>Technical!$B$34*K5</f>
        <v>50000</v>
      </c>
      <c r="L9" s="25">
        <f>Technical!$B$34*L5</f>
        <v>50000</v>
      </c>
      <c r="M9" s="25">
        <f>Technical!$B$34*M5</f>
        <v>50000</v>
      </c>
      <c r="N9" s="25">
        <f>Technical!$B$34*N5</f>
        <v>50000</v>
      </c>
      <c r="O9" s="25">
        <f>Technical!$B$34*O5</f>
        <v>50000</v>
      </c>
      <c r="P9" s="25">
        <f>Technical!$B$34*P5</f>
        <v>50000</v>
      </c>
      <c r="Q9" s="25">
        <f>Technical!$B$34*Q5</f>
        <v>50000</v>
      </c>
      <c r="R9" s="25">
        <f>Technical!$B$34*R5</f>
        <v>50000</v>
      </c>
    </row>
    <row r="10" spans="1:18" x14ac:dyDescent="0.2">
      <c r="A10" s="4" t="s">
        <v>258</v>
      </c>
      <c r="B10" s="4" t="s">
        <v>228</v>
      </c>
      <c r="C10" s="40">
        <f>C9*Sensitivity!$B$12*(1+Inputs!$C$31)^(C3-1)*12/10^6</f>
        <v>0</v>
      </c>
      <c r="D10" s="40">
        <f>D9*Sensitivity!$B$12*(1+Inputs!$C$31)^(D3-1)*12/10^6</f>
        <v>16.592075502193993</v>
      </c>
      <c r="E10" s="40">
        <f>E9*Sensitivity!$B$12*(1+Inputs!$C$31)^(E3-1)*12/10^6</f>
        <v>16.592075502193993</v>
      </c>
      <c r="F10" s="40">
        <f>F9*Sensitivity!$B$12*(1+Inputs!$C$31)^(F3-1)*12/10^6</f>
        <v>16.592075502193993</v>
      </c>
      <c r="G10" s="40">
        <f>G9*Sensitivity!$B$12*(1+Inputs!$C$31)^(G3-1)*12/10^6</f>
        <v>16.592075502193993</v>
      </c>
      <c r="H10" s="40">
        <f>H9*Sensitivity!$B$12*(1+Inputs!$C$31)^(H3-1)*12/10^6</f>
        <v>16.592075502193993</v>
      </c>
      <c r="I10" s="40">
        <f>I9*Sensitivity!$B$12*(1+Inputs!$C$31)^(I3-1)*12/10^6</f>
        <v>16.592075502193993</v>
      </c>
      <c r="J10" s="40">
        <f>J9*Sensitivity!$B$12*(1+Inputs!$C$31)^(J3-1)*12/10^6</f>
        <v>16.592075502193993</v>
      </c>
      <c r="K10" s="40">
        <f>K9*Sensitivity!$B$12*(1+Inputs!$C$31)^(K3-1)*12/10^6</f>
        <v>16.592075502193993</v>
      </c>
      <c r="L10" s="40">
        <f>L9*Sensitivity!$B$12*(1+Inputs!$C$31)^(L3-1)*12/10^6</f>
        <v>16.592075502193993</v>
      </c>
      <c r="M10" s="40">
        <f>M9*Sensitivity!$B$12*(1+Inputs!$C$31)^(M3-1)*12/10^6</f>
        <v>16.592075502193993</v>
      </c>
      <c r="N10" s="40">
        <f>N9*Sensitivity!$B$12*(1+Inputs!$C$31)^(N3-1)*12/10^6</f>
        <v>16.592075502193993</v>
      </c>
      <c r="O10" s="40">
        <f>O9*Sensitivity!$B$12*(1+Inputs!$C$31)^(O3-1)*12/10^6</f>
        <v>16.592075502193993</v>
      </c>
      <c r="P10" s="40">
        <f>P9*Sensitivity!$B$12*(1+Inputs!$C$31)^(P3-1)*12/10^6</f>
        <v>16.592075502193993</v>
      </c>
      <c r="Q10" s="40">
        <f>Q9*Sensitivity!$B$12*(1+Inputs!$C$31)^(Q3-1)*12/10^6</f>
        <v>16.592075502193993</v>
      </c>
      <c r="R10" s="40">
        <f>R9*Sensitivity!$B$12*(1+Inputs!$C$31)^(R3-1)*12/10^6</f>
        <v>16.592075502193993</v>
      </c>
    </row>
    <row r="11" spans="1:18" x14ac:dyDescent="0.2">
      <c r="A11" s="4" t="s">
        <v>518</v>
      </c>
      <c r="B11" s="4" t="s">
        <v>228</v>
      </c>
      <c r="C11" s="40">
        <f>C7*Sensitivity!$B$9*365*(1+Inputs!$C$33)^(C3-1)/10^6</f>
        <v>0</v>
      </c>
      <c r="D11" s="40">
        <f>D7*Sensitivity!$B$9*365*(1+Inputs!$C$33)^(D3-1)/10^6</f>
        <v>5.5488577499999989</v>
      </c>
      <c r="E11" s="40">
        <f>E7*Sensitivity!$B$9*365*(1+Inputs!$C$33)^(E3-1)/10^6</f>
        <v>5.1789338999999996</v>
      </c>
      <c r="F11" s="40">
        <f>F7*Sensitivity!$B$9*365*(1+Inputs!$C$33)^(F3-1)/10^6</f>
        <v>5.0556259499999996</v>
      </c>
      <c r="G11" s="40">
        <f>G7*Sensitivity!$B$9*365*(1+Inputs!$C$33)^(G3-1)/10^6</f>
        <v>5.0556259499999996</v>
      </c>
      <c r="H11" s="40">
        <f>H7*Sensitivity!$B$9*365*(1+Inputs!$C$33)^(H3-1)/10^6</f>
        <v>4.9323180000000004</v>
      </c>
      <c r="I11" s="40">
        <f>I7*Sensitivity!$B$9*365*(1+Inputs!$C$33)^(I3-1)/10^6</f>
        <v>4.8090100499999995</v>
      </c>
      <c r="J11" s="40">
        <f>J7*Sensitivity!$B$9*365*(1+Inputs!$C$33)^(J3-1)/10^6</f>
        <v>4.6857020999999994</v>
      </c>
      <c r="K11" s="40">
        <f>K7*Sensitivity!$B$9*365*(1+Inputs!$C$33)^(K3-1)/10^6</f>
        <v>4.6240481249999998</v>
      </c>
      <c r="L11" s="40">
        <f>L7*Sensitivity!$B$9*365*(1+Inputs!$C$33)^(L3-1)/10^6</f>
        <v>4.6857020999999994</v>
      </c>
      <c r="M11" s="40">
        <f>M7*Sensitivity!$B$9*365*(1+Inputs!$C$33)^(M3-1)/10^6</f>
        <v>4.7473560749999999</v>
      </c>
      <c r="N11" s="40">
        <f>N7*Sensitivity!$B$9*365*(1+Inputs!$C$33)^(N3-1)/10^6</f>
        <v>4.7473560749999999</v>
      </c>
      <c r="O11" s="40">
        <f>O7*Sensitivity!$B$9*365*(1+Inputs!$C$33)^(O3-1)/10^6</f>
        <v>4.6240481249999998</v>
      </c>
      <c r="P11" s="40">
        <f>P7*Sensitivity!$B$9*365*(1+Inputs!$C$33)^(P3-1)/10^6</f>
        <v>4.6240481249999998</v>
      </c>
      <c r="Q11" s="40">
        <f>Q7*Sensitivity!$B$9*365*(1+Inputs!$C$33)^(Q3-1)/10^6</f>
        <v>4.6240481249999998</v>
      </c>
      <c r="R11" s="40">
        <f>R7*Sensitivity!$B$9*365*(1+Inputs!$C$33)^(R3-1)/10^6</f>
        <v>4.6240481249999998</v>
      </c>
    </row>
    <row r="12" spans="1:18" x14ac:dyDescent="0.2">
      <c r="A12" s="1" t="s">
        <v>519</v>
      </c>
      <c r="B12" s="4" t="s">
        <v>228</v>
      </c>
      <c r="C12" s="48">
        <f t="shared" ref="C12:R12" si="0">C10+C11</f>
        <v>0</v>
      </c>
      <c r="D12" s="48">
        <f t="shared" si="0"/>
        <v>22.140933252193992</v>
      </c>
      <c r="E12" s="48">
        <f t="shared" si="0"/>
        <v>21.771009402193993</v>
      </c>
      <c r="F12" s="48">
        <f t="shared" si="0"/>
        <v>21.647701452193992</v>
      </c>
      <c r="G12" s="48">
        <f t="shared" si="0"/>
        <v>21.647701452193992</v>
      </c>
      <c r="H12" s="48">
        <f t="shared" si="0"/>
        <v>21.524393502193995</v>
      </c>
      <c r="I12" s="48">
        <f t="shared" si="0"/>
        <v>21.40108555219399</v>
      </c>
      <c r="J12" s="48">
        <f t="shared" si="0"/>
        <v>21.277777602193993</v>
      </c>
      <c r="K12" s="48">
        <f t="shared" si="0"/>
        <v>21.216123627193994</v>
      </c>
      <c r="L12" s="48">
        <f t="shared" si="0"/>
        <v>21.277777602193993</v>
      </c>
      <c r="M12" s="48">
        <f t="shared" si="0"/>
        <v>21.339431577193992</v>
      </c>
      <c r="N12" s="48">
        <f t="shared" si="0"/>
        <v>21.339431577193992</v>
      </c>
      <c r="O12" s="48">
        <f t="shared" si="0"/>
        <v>21.216123627193994</v>
      </c>
      <c r="P12" s="48">
        <f t="shared" si="0"/>
        <v>21.216123627193994</v>
      </c>
      <c r="Q12" s="48">
        <f t="shared" si="0"/>
        <v>21.216123627193994</v>
      </c>
      <c r="R12" s="48">
        <f t="shared" si="0"/>
        <v>21.216123627193994</v>
      </c>
    </row>
    <row r="13" spans="1:18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x14ac:dyDescent="0.2">
      <c r="A14" s="3" t="s">
        <v>259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</row>
    <row r="15" spans="1:18" x14ac:dyDescent="0.2">
      <c r="A15" s="4" t="s">
        <v>260</v>
      </c>
      <c r="B15" s="4" t="s">
        <v>228</v>
      </c>
      <c r="C15" s="40">
        <f>-Costs!$B$16*(1+Inputs!$C$8)^(C3-1)*C5</f>
        <v>0</v>
      </c>
      <c r="D15" s="40">
        <f>-Costs!$B$16*(1+Inputs!$C$8)^(D3-1)*D5</f>
        <v>-5.5397366609406236</v>
      </c>
      <c r="E15" s="40">
        <f>-Costs!$B$16*(1+Inputs!$C$8)^(E3-1)*E5</f>
        <v>-5.6782300774641383</v>
      </c>
      <c r="F15" s="40">
        <f>-Costs!$B$16*(1+Inputs!$C$8)^(F3-1)*F5</f>
        <v>-5.8201858294007423</v>
      </c>
      <c r="G15" s="40">
        <f>-Costs!$B$16*(1+Inputs!$C$8)^(G3-1)*G5</f>
        <v>-5.9656904751357605</v>
      </c>
      <c r="H15" s="40">
        <f>-Costs!$B$16*(1+Inputs!$C$8)^(H3-1)*H5</f>
        <v>-6.1148327370141535</v>
      </c>
      <c r="I15" s="40">
        <f>-Costs!$B$16*(1+Inputs!$C$8)^(I3-1)*I5</f>
        <v>-6.2677035554395069</v>
      </c>
      <c r="J15" s="40">
        <f>-Costs!$B$16*(1+Inputs!$C$8)^(J3-1)*J5</f>
        <v>-6.4243961443254944</v>
      </c>
      <c r="K15" s="40">
        <f>-Costs!$B$16*(1+Inputs!$C$8)^(K3-1)*K5</f>
        <v>-6.5850060479336321</v>
      </c>
      <c r="L15" s="40">
        <f>-Costs!$B$16*(1+Inputs!$C$8)^(L3-1)*L5</f>
        <v>-6.7496311991319722</v>
      </c>
      <c r="M15" s="40">
        <f>-Costs!$B$16*(1+Inputs!$C$8)^(M3-1)*M5</f>
        <v>-6.9183719791102707</v>
      </c>
      <c r="N15" s="40">
        <f>-Costs!$B$16*(1+Inputs!$C$8)^(N3-1)*N5</f>
        <v>-7.0913312785880276</v>
      </c>
      <c r="O15" s="40">
        <f>-Costs!$B$16*(1+Inputs!$C$8)^(O3-1)*O5</f>
        <v>-7.2686145605527281</v>
      </c>
      <c r="P15" s="40">
        <f>-Costs!$B$16*(1+Inputs!$C$8)^(P3-1)*P5</f>
        <v>-7.4503299245665451</v>
      </c>
      <c r="Q15" s="40">
        <f>-Costs!$B$16*(1+Inputs!$C$8)^(Q3-1)*Q5</f>
        <v>-7.6365881726807086</v>
      </c>
      <c r="R15" s="40">
        <f>-Costs!$B$16*(1+Inputs!$C$8)^(R3-1)*R5</f>
        <v>-7.8275028769977251</v>
      </c>
    </row>
    <row r="16" spans="1:18" x14ac:dyDescent="0.2">
      <c r="A16" s="4" t="s">
        <v>261</v>
      </c>
      <c r="B16" s="4" t="s">
        <v>228</v>
      </c>
      <c r="C16" s="40">
        <f>-Costs!$B$17*C5</f>
        <v>0</v>
      </c>
      <c r="D16" s="40">
        <f>-Costs!$B$17*D5</f>
        <v>-1.1349704378512497</v>
      </c>
      <c r="E16" s="40">
        <f>-Costs!$B$17*E5</f>
        <v>-1.1349704378512497</v>
      </c>
      <c r="F16" s="40">
        <f>-Costs!$B$17*F5</f>
        <v>-1.1349704378512497</v>
      </c>
      <c r="G16" s="40">
        <f>-Costs!$B$17*G5</f>
        <v>-1.1349704378512497</v>
      </c>
      <c r="H16" s="40">
        <f>-Costs!$B$17*H5</f>
        <v>-1.1349704378512497</v>
      </c>
      <c r="I16" s="40">
        <f>-Costs!$B$17*I5</f>
        <v>-1.1349704378512497</v>
      </c>
      <c r="J16" s="40">
        <f>-Costs!$B$17*J5</f>
        <v>-1.1349704378512497</v>
      </c>
      <c r="K16" s="40">
        <f>-Costs!$B$17*K5</f>
        <v>-1.1349704378512497</v>
      </c>
      <c r="L16" s="40">
        <f>-Costs!$B$17*L5</f>
        <v>-1.1349704378512497</v>
      </c>
      <c r="M16" s="40">
        <f>-Costs!$B$17*M5</f>
        <v>-1.1349704378512497</v>
      </c>
      <c r="N16" s="40">
        <f>-Costs!$B$17*N5</f>
        <v>-1.1349704378512497</v>
      </c>
      <c r="O16" s="40">
        <f>-Costs!$B$17*O5</f>
        <v>-1.1349704378512497</v>
      </c>
      <c r="P16" s="40">
        <f>-Costs!$B$17*P5</f>
        <v>-1.1349704378512497</v>
      </c>
      <c r="Q16" s="40">
        <f>-Costs!$B$17*Q5</f>
        <v>-1.1349704378512497</v>
      </c>
      <c r="R16" s="40">
        <f>-Costs!$B$17*R5</f>
        <v>-1.1349704378512497</v>
      </c>
    </row>
    <row r="17" spans="1:18" x14ac:dyDescent="0.2">
      <c r="A17" s="4" t="s">
        <v>262</v>
      </c>
      <c r="B17" s="4" t="s">
        <v>228</v>
      </c>
      <c r="C17" s="40">
        <f>-Costs!$B$18*C5</f>
        <v>0</v>
      </c>
      <c r="D17" s="40">
        <f>-Costs!$B$18*D5</f>
        <v>-0.54046211326249993</v>
      </c>
      <c r="E17" s="40">
        <f>-Costs!$B$18*E5</f>
        <v>-0.54046211326249993</v>
      </c>
      <c r="F17" s="40">
        <f>-Costs!$B$18*F5</f>
        <v>-0.54046211326249993</v>
      </c>
      <c r="G17" s="40">
        <f>-Costs!$B$18*G5</f>
        <v>-0.54046211326249993</v>
      </c>
      <c r="H17" s="40">
        <f>-Costs!$B$18*H5</f>
        <v>-0.54046211326249993</v>
      </c>
      <c r="I17" s="40">
        <f>-Costs!$B$18*I5</f>
        <v>-0.54046211326249993</v>
      </c>
      <c r="J17" s="40">
        <f>-Costs!$B$18*J5</f>
        <v>-0.54046211326249993</v>
      </c>
      <c r="K17" s="40">
        <f>-Costs!$B$18*K5</f>
        <v>-0.54046211326249993</v>
      </c>
      <c r="L17" s="40">
        <f>-Costs!$B$18*L5</f>
        <v>-0.54046211326249993</v>
      </c>
      <c r="M17" s="40">
        <f>-Costs!$B$18*M5</f>
        <v>-0.54046211326249993</v>
      </c>
      <c r="N17" s="40">
        <f>-Costs!$B$18*N5</f>
        <v>-0.54046211326249993</v>
      </c>
      <c r="O17" s="40">
        <f>-Costs!$B$18*O5</f>
        <v>-0.54046211326249993</v>
      </c>
      <c r="P17" s="40">
        <f>-Costs!$B$18*P5</f>
        <v>-0.54046211326249993</v>
      </c>
      <c r="Q17" s="40">
        <f>-Costs!$B$18*Q5</f>
        <v>-0.54046211326249993</v>
      </c>
      <c r="R17" s="40">
        <f>-Costs!$B$18*R5</f>
        <v>-0.54046211326249993</v>
      </c>
    </row>
    <row r="18" spans="1:18" x14ac:dyDescent="0.2">
      <c r="A18" s="4" t="s">
        <v>263</v>
      </c>
      <c r="B18" s="4" t="s">
        <v>228</v>
      </c>
      <c r="C18" s="40">
        <f>-Costs!$B$19*(1+Inputs!$C$8)^(C3-1)*C5</f>
        <v>0</v>
      </c>
      <c r="D18" s="40">
        <f>-Costs!$B$19*(1+Inputs!$C$8)^(D3-1)*D5</f>
        <v>-4.6752344349489019E-3</v>
      </c>
      <c r="E18" s="40">
        <f>-Costs!$B$19*(1+Inputs!$C$8)^(E3-1)*E5</f>
        <v>-4.7921152958226238E-3</v>
      </c>
      <c r="F18" s="40">
        <f>-Costs!$B$19*(1+Inputs!$C$8)^(F3-1)*F5</f>
        <v>-4.9119181782181897E-3</v>
      </c>
      <c r="G18" s="40">
        <f>-Costs!$B$19*(1+Inputs!$C$8)^(G3-1)*G5</f>
        <v>-5.0347161326736445E-3</v>
      </c>
      <c r="H18" s="40">
        <f>-Costs!$B$19*(1+Inputs!$C$8)^(H3-1)*H5</f>
        <v>-5.1605840359904851E-3</v>
      </c>
      <c r="I18" s="40">
        <f>-Costs!$B$19*(1+Inputs!$C$8)^(I3-1)*I5</f>
        <v>-5.2895986368902467E-3</v>
      </c>
      <c r="J18" s="40">
        <f>-Costs!$B$19*(1+Inputs!$C$8)^(J3-1)*J5</f>
        <v>-5.4218386028125022E-3</v>
      </c>
      <c r="K18" s="40">
        <f>-Costs!$B$19*(1+Inputs!$C$8)^(K3-1)*K5</f>
        <v>-5.5573845678828148E-3</v>
      </c>
      <c r="L18" s="40">
        <f>-Costs!$B$19*(1+Inputs!$C$8)^(L3-1)*L5</f>
        <v>-5.6963191820798851E-3</v>
      </c>
      <c r="M18" s="40">
        <f>-Costs!$B$19*(1+Inputs!$C$8)^(M3-1)*M5</f>
        <v>-5.8387271616318808E-3</v>
      </c>
      <c r="N18" s="40">
        <f>-Costs!$B$19*(1+Inputs!$C$8)^(N3-1)*N5</f>
        <v>-5.9846953406726784E-3</v>
      </c>
      <c r="O18" s="40">
        <f>-Costs!$B$19*(1+Inputs!$C$8)^(O3-1)*O5</f>
        <v>-6.1343127241894951E-3</v>
      </c>
      <c r="P18" s="40">
        <f>-Costs!$B$19*(1+Inputs!$C$8)^(P3-1)*P5</f>
        <v>-6.2876705422942316E-3</v>
      </c>
      <c r="Q18" s="40">
        <f>-Costs!$B$19*(1+Inputs!$C$8)^(Q3-1)*Q5</f>
        <v>-6.4448623058515871E-3</v>
      </c>
      <c r="R18" s="40">
        <f>-Costs!$B$19*(1+Inputs!$C$8)^(R3-1)*R5</f>
        <v>-6.6059838634978767E-3</v>
      </c>
    </row>
    <row r="19" spans="1:18" x14ac:dyDescent="0.2">
      <c r="A19" s="4" t="s">
        <v>264</v>
      </c>
      <c r="B19" s="4" t="s">
        <v>228</v>
      </c>
      <c r="C19" s="40">
        <f>-Costs!$B$20*C5</f>
        <v>0</v>
      </c>
      <c r="D19" s="40">
        <f>-Costs!$B$20*D5</f>
        <v>-0.15734271405821329</v>
      </c>
      <c r="E19" s="40">
        <f>-Costs!$B$20*E5</f>
        <v>-0.15734271405821329</v>
      </c>
      <c r="F19" s="40">
        <f>-Costs!$B$20*F5</f>
        <v>-0.15734271405821329</v>
      </c>
      <c r="G19" s="40">
        <f>-Costs!$B$20*G5</f>
        <v>-0.15734271405821329</v>
      </c>
      <c r="H19" s="40">
        <f>-Costs!$B$20*H5</f>
        <v>-0.15734271405821329</v>
      </c>
      <c r="I19" s="40">
        <f>-Costs!$B$20*I5</f>
        <v>-0.15734271405821329</v>
      </c>
      <c r="J19" s="40">
        <f>-Costs!$B$20*J5</f>
        <v>-0.15734271405821329</v>
      </c>
      <c r="K19" s="40">
        <f>-Costs!$B$20*K5</f>
        <v>-0.15734271405821329</v>
      </c>
      <c r="L19" s="40">
        <f>-Costs!$B$20*L5</f>
        <v>-0.15734271405821329</v>
      </c>
      <c r="M19" s="40">
        <f>-Costs!$B$20*M5</f>
        <v>-0.15734271405821329</v>
      </c>
      <c r="N19" s="40">
        <f>-Costs!$B$20*N5</f>
        <v>-0.15734271405821329</v>
      </c>
      <c r="O19" s="40">
        <f>-Costs!$B$20*O5</f>
        <v>-0.15734271405821329</v>
      </c>
      <c r="P19" s="40">
        <f>-Costs!$B$20*P5</f>
        <v>-0.15734271405821329</v>
      </c>
      <c r="Q19" s="40">
        <f>-Costs!$B$20*Q5</f>
        <v>-0.15734271405821329</v>
      </c>
      <c r="R19" s="40">
        <f>-Costs!$B$20*R5</f>
        <v>-0.15734271405821329</v>
      </c>
    </row>
    <row r="20" spans="1:18" x14ac:dyDescent="0.2">
      <c r="A20" s="1" t="s">
        <v>265</v>
      </c>
      <c r="B20" s="4" t="s">
        <v>228</v>
      </c>
      <c r="C20" s="48">
        <f t="shared" ref="C20:R20" si="1">SUM(C15:C19)</f>
        <v>0</v>
      </c>
      <c r="D20" s="48">
        <f t="shared" si="1"/>
        <v>-7.3771871605475345</v>
      </c>
      <c r="E20" s="48">
        <f t="shared" si="1"/>
        <v>-7.5157974579319236</v>
      </c>
      <c r="F20" s="48">
        <f t="shared" si="1"/>
        <v>-7.6578730127509225</v>
      </c>
      <c r="G20" s="48">
        <f t="shared" si="1"/>
        <v>-7.8035004564403962</v>
      </c>
      <c r="H20" s="48">
        <f t="shared" si="1"/>
        <v>-7.9527685862221063</v>
      </c>
      <c r="I20" s="48">
        <f t="shared" si="1"/>
        <v>-8.1057684192483599</v>
      </c>
      <c r="J20" s="48">
        <f t="shared" si="1"/>
        <v>-8.26259324810027</v>
      </c>
      <c r="K20" s="48">
        <f t="shared" si="1"/>
        <v>-8.4233386976734774</v>
      </c>
      <c r="L20" s="48">
        <f t="shared" si="1"/>
        <v>-8.5881027834860149</v>
      </c>
      <c r="M20" s="48">
        <f t="shared" si="1"/>
        <v>-8.7569859714438643</v>
      </c>
      <c r="N20" s="48">
        <f t="shared" si="1"/>
        <v>-8.9300912391006619</v>
      </c>
      <c r="O20" s="48">
        <f t="shared" si="1"/>
        <v>-9.1075241384488805</v>
      </c>
      <c r="P20" s="48">
        <f t="shared" si="1"/>
        <v>-9.2893928602808025</v>
      </c>
      <c r="Q20" s="48">
        <f t="shared" si="1"/>
        <v>-9.4758083001585227</v>
      </c>
      <c r="R20" s="48">
        <f t="shared" si="1"/>
        <v>-9.6668841260331853</v>
      </c>
    </row>
    <row r="21" spans="1:18" x14ac:dyDescent="0.2">
      <c r="A21" s="1" t="s">
        <v>520</v>
      </c>
      <c r="B21" s="4" t="s">
        <v>228</v>
      </c>
      <c r="C21" s="48">
        <f t="shared" ref="C21:R21" si="2">C12+C20</f>
        <v>0</v>
      </c>
      <c r="D21" s="48">
        <f t="shared" si="2"/>
        <v>14.763746091646457</v>
      </c>
      <c r="E21" s="48">
        <f t="shared" si="2"/>
        <v>14.255211944262069</v>
      </c>
      <c r="F21" s="48">
        <f t="shared" si="2"/>
        <v>13.98982843944307</v>
      </c>
      <c r="G21" s="48">
        <f t="shared" si="2"/>
        <v>13.844200995753596</v>
      </c>
      <c r="H21" s="48">
        <f t="shared" si="2"/>
        <v>13.571624915971888</v>
      </c>
      <c r="I21" s="48">
        <f t="shared" si="2"/>
        <v>13.29531713294563</v>
      </c>
      <c r="J21" s="48">
        <f t="shared" si="2"/>
        <v>13.015184354093723</v>
      </c>
      <c r="K21" s="48">
        <f t="shared" si="2"/>
        <v>12.792784929520517</v>
      </c>
      <c r="L21" s="48">
        <f t="shared" si="2"/>
        <v>12.689674818707978</v>
      </c>
      <c r="M21" s="48">
        <f t="shared" si="2"/>
        <v>12.582445605750127</v>
      </c>
      <c r="N21" s="48">
        <f t="shared" si="2"/>
        <v>12.40934033809333</v>
      </c>
      <c r="O21" s="48">
        <f t="shared" si="2"/>
        <v>12.108599488745114</v>
      </c>
      <c r="P21" s="48">
        <f t="shared" si="2"/>
        <v>11.926730766913192</v>
      </c>
      <c r="Q21" s="48">
        <f t="shared" si="2"/>
        <v>11.740315327035471</v>
      </c>
      <c r="R21" s="48">
        <f t="shared" si="2"/>
        <v>11.549239501160809</v>
      </c>
    </row>
    <row r="22" spans="1:18" x14ac:dyDescent="0.2">
      <c r="A22" s="3" t="s">
        <v>266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</row>
    <row r="23" spans="1:18" x14ac:dyDescent="0.2">
      <c r="A23" s="4" t="s">
        <v>267</v>
      </c>
      <c r="B23" s="4" t="s">
        <v>228</v>
      </c>
      <c r="C23" s="40">
        <f>-Costs!$B$9*(C3=0)</f>
        <v>-135.11552831562497</v>
      </c>
      <c r="D23" s="40">
        <f>-Costs!$B$9*(D3=0)</f>
        <v>0</v>
      </c>
      <c r="E23" s="40">
        <f>-Costs!$B$9*(E3=0)</f>
        <v>0</v>
      </c>
      <c r="F23" s="40">
        <f>-Costs!$B$9*(F3=0)</f>
        <v>0</v>
      </c>
      <c r="G23" s="40">
        <f>-Costs!$B$9*(G3=0)</f>
        <v>0</v>
      </c>
      <c r="H23" s="40">
        <f>-Costs!$B$9*(H3=0)</f>
        <v>0</v>
      </c>
      <c r="I23" s="40">
        <f>-Costs!$B$9*(I3=0)</f>
        <v>0</v>
      </c>
      <c r="J23" s="40">
        <f>-Costs!$B$9*(J3=0)</f>
        <v>0</v>
      </c>
      <c r="K23" s="40">
        <f>-Costs!$B$9*(K3=0)</f>
        <v>0</v>
      </c>
      <c r="L23" s="40">
        <f>-Costs!$B$9*(L3=0)</f>
        <v>0</v>
      </c>
      <c r="M23" s="40">
        <f>-Costs!$B$9*(M3=0)</f>
        <v>0</v>
      </c>
      <c r="N23" s="40">
        <f>-Costs!$B$9*(N3=0)</f>
        <v>0</v>
      </c>
      <c r="O23" s="40">
        <f>-Costs!$B$9*(O3=0)</f>
        <v>0</v>
      </c>
      <c r="P23" s="40">
        <f>-Costs!$B$9*(P3=0)</f>
        <v>0</v>
      </c>
      <c r="Q23" s="40">
        <f>-Costs!$B$9*(Q3=0)</f>
        <v>0</v>
      </c>
      <c r="R23" s="40">
        <f>-Costs!$B$9*(R3=0)</f>
        <v>0</v>
      </c>
    </row>
    <row r="24" spans="1:18" x14ac:dyDescent="0.2">
      <c r="A24" s="4" t="s">
        <v>268</v>
      </c>
      <c r="B24" s="4" t="s">
        <v>228</v>
      </c>
      <c r="C24" s="40">
        <f>Costs!$B$12*(C3=1)</f>
        <v>0</v>
      </c>
      <c r="D24" s="40">
        <f>Costs!$B$12*(D3=1)</f>
        <v>36.481192645218741</v>
      </c>
      <c r="E24" s="40">
        <f>Costs!$B$12*(E3=1)</f>
        <v>0</v>
      </c>
      <c r="F24" s="40">
        <f>Costs!$B$12*(F3=1)</f>
        <v>0</v>
      </c>
      <c r="G24" s="40">
        <f>Costs!$B$12*(G3=1)</f>
        <v>0</v>
      </c>
      <c r="H24" s="40">
        <f>Costs!$B$12*(H3=1)</f>
        <v>0</v>
      </c>
      <c r="I24" s="40">
        <f>Costs!$B$12*(I3=1)</f>
        <v>0</v>
      </c>
      <c r="J24" s="40">
        <f>Costs!$B$12*(J3=1)</f>
        <v>0</v>
      </c>
      <c r="K24" s="40">
        <f>Costs!$B$12*(K3=1)</f>
        <v>0</v>
      </c>
      <c r="L24" s="40">
        <f>Costs!$B$12*(L3=1)</f>
        <v>0</v>
      </c>
      <c r="M24" s="40">
        <f>Costs!$B$12*(M3=1)</f>
        <v>0</v>
      </c>
      <c r="N24" s="40">
        <f>Costs!$B$12*(N3=1)</f>
        <v>0</v>
      </c>
      <c r="O24" s="40">
        <f>Costs!$B$12*(O3=1)</f>
        <v>0</v>
      </c>
      <c r="P24" s="40">
        <f>Costs!$B$12*(P3=1)</f>
        <v>0</v>
      </c>
      <c r="Q24" s="40">
        <f>Costs!$B$12*(Q3=1)</f>
        <v>0</v>
      </c>
      <c r="R24" s="40">
        <f>Costs!$B$12*(R3=1)</f>
        <v>0</v>
      </c>
    </row>
    <row r="25" spans="1:18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pans="1:18" x14ac:dyDescent="0.2">
      <c r="A26" s="3" t="s">
        <v>521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</row>
    <row r="27" spans="1:18" x14ac:dyDescent="0.2">
      <c r="A27" s="4" t="s">
        <v>269</v>
      </c>
      <c r="B27" s="4" t="s">
        <v>33</v>
      </c>
      <c r="C27" s="41">
        <f>IF(AND(C3&gt;=1,C3&lt;=6),INDEX(Inputs!$C$40:$C$45,C3),0)</f>
        <v>0</v>
      </c>
      <c r="D27" s="41">
        <f>IF(AND(D3&gt;=1,D3&lt;=6),INDEX(Inputs!$C$40:$C$45,D3),0)</f>
        <v>0.2</v>
      </c>
      <c r="E27" s="41">
        <f>IF(AND(E3&gt;=1,E3&lt;=6),INDEX(Inputs!$C$40:$C$45,E3),0)</f>
        <v>0.32</v>
      </c>
      <c r="F27" s="41">
        <f>IF(AND(F3&gt;=1,F3&lt;=6),INDEX(Inputs!$C$40:$C$45,F3),0)</f>
        <v>0.192</v>
      </c>
      <c r="G27" s="41">
        <f>IF(AND(G3&gt;=1,G3&lt;=6),INDEX(Inputs!$C$40:$C$45,G3),0)</f>
        <v>0.1152</v>
      </c>
      <c r="H27" s="41">
        <f>IF(AND(H3&gt;=1,H3&lt;=6),INDEX(Inputs!$C$40:$C$45,H3),0)</f>
        <v>0.1152</v>
      </c>
      <c r="I27" s="41">
        <f>IF(AND(I3&gt;=1,I3&lt;=6),INDEX(Inputs!$C$40:$C$45,I3),0)</f>
        <v>5.7599999999999998E-2</v>
      </c>
      <c r="J27" s="41">
        <f>IF(AND(J3&gt;=1,J3&lt;=6),INDEX(Inputs!$C$40:$C$45,J3),0)</f>
        <v>0</v>
      </c>
      <c r="K27" s="41">
        <f>IF(AND(K3&gt;=1,K3&lt;=6),INDEX(Inputs!$C$40:$C$45,K3),0)</f>
        <v>0</v>
      </c>
      <c r="L27" s="41">
        <f>IF(AND(L3&gt;=1,L3&lt;=6),INDEX(Inputs!$C$40:$C$45,L3),0)</f>
        <v>0</v>
      </c>
      <c r="M27" s="41">
        <f>IF(AND(M3&gt;=1,M3&lt;=6),INDEX(Inputs!$C$40:$C$45,M3),0)</f>
        <v>0</v>
      </c>
      <c r="N27" s="41">
        <f>IF(AND(N3&gt;=1,N3&lt;=6),INDEX(Inputs!$C$40:$C$45,N3),0)</f>
        <v>0</v>
      </c>
      <c r="O27" s="41">
        <f>IF(AND(O3&gt;=1,O3&lt;=6),INDEX(Inputs!$C$40:$C$45,O3),0)</f>
        <v>0</v>
      </c>
      <c r="P27" s="41">
        <f>IF(AND(P3&gt;=1,P3&lt;=6),INDEX(Inputs!$C$40:$C$45,P3),0)</f>
        <v>0</v>
      </c>
      <c r="Q27" s="41">
        <f>IF(AND(Q3&gt;=1,Q3&lt;=6),INDEX(Inputs!$C$40:$C$45,Q3),0)</f>
        <v>0</v>
      </c>
      <c r="R27" s="41">
        <f>IF(AND(R3&gt;=1,R3&lt;=6),INDEX(Inputs!$C$40:$C$45,R3),0)</f>
        <v>0</v>
      </c>
    </row>
    <row r="28" spans="1:18" x14ac:dyDescent="0.2">
      <c r="A28" s="4" t="s">
        <v>522</v>
      </c>
      <c r="B28" s="4" t="s">
        <v>228</v>
      </c>
      <c r="C28" s="40">
        <f>-Costs!$B$13*C27</f>
        <v>0</v>
      </c>
      <c r="D28" s="40">
        <f>-Costs!$B$13*D27</f>
        <v>-22.969639813656244</v>
      </c>
      <c r="E28" s="40">
        <f>-Costs!$B$13*E27</f>
        <v>-36.751423701849994</v>
      </c>
      <c r="F28" s="40">
        <f>-Costs!$B$13*F27</f>
        <v>-22.050854221109994</v>
      </c>
      <c r="G28" s="40">
        <f>-Costs!$B$13*G27</f>
        <v>-13.230512532665996</v>
      </c>
      <c r="H28" s="40">
        <f>-Costs!$B$13*H27</f>
        <v>-13.230512532665996</v>
      </c>
      <c r="I28" s="40">
        <f>-Costs!$B$13*I27</f>
        <v>-6.6152562663329979</v>
      </c>
      <c r="J28" s="40">
        <f>-Costs!$B$13*J27</f>
        <v>0</v>
      </c>
      <c r="K28" s="40">
        <f>-Costs!$B$13*K27</f>
        <v>0</v>
      </c>
      <c r="L28" s="40">
        <f>-Costs!$B$13*L27</f>
        <v>0</v>
      </c>
      <c r="M28" s="40">
        <f>-Costs!$B$13*M27</f>
        <v>0</v>
      </c>
      <c r="N28" s="40">
        <f>-Costs!$B$13*N27</f>
        <v>0</v>
      </c>
      <c r="O28" s="40">
        <f>-Costs!$B$13*O27</f>
        <v>0</v>
      </c>
      <c r="P28" s="40">
        <f>-Costs!$B$13*P27</f>
        <v>0</v>
      </c>
      <c r="Q28" s="40">
        <f>-Costs!$B$13*Q27</f>
        <v>0</v>
      </c>
      <c r="R28" s="40">
        <f>-Costs!$B$13*R27</f>
        <v>0</v>
      </c>
    </row>
    <row r="29" spans="1:18" x14ac:dyDescent="0.2">
      <c r="A29" s="4" t="s">
        <v>523</v>
      </c>
      <c r="B29" s="4" t="s">
        <v>228</v>
      </c>
      <c r="C29" s="40">
        <f t="shared" ref="C29:R29" si="3">C21+C28</f>
        <v>0</v>
      </c>
      <c r="D29" s="40">
        <f t="shared" si="3"/>
        <v>-8.2058937220097867</v>
      </c>
      <c r="E29" s="40">
        <f t="shared" si="3"/>
        <v>-22.496211757587925</v>
      </c>
      <c r="F29" s="40">
        <f t="shared" si="3"/>
        <v>-8.061025781666924</v>
      </c>
      <c r="G29" s="40">
        <f t="shared" si="3"/>
        <v>0.61368846308760006</v>
      </c>
      <c r="H29" s="40">
        <f t="shared" si="3"/>
        <v>0.34111238330589266</v>
      </c>
      <c r="I29" s="40">
        <f t="shared" si="3"/>
        <v>6.6800608666126324</v>
      </c>
      <c r="J29" s="40">
        <f t="shared" si="3"/>
        <v>13.015184354093723</v>
      </c>
      <c r="K29" s="40">
        <f t="shared" si="3"/>
        <v>12.792784929520517</v>
      </c>
      <c r="L29" s="40">
        <f t="shared" si="3"/>
        <v>12.689674818707978</v>
      </c>
      <c r="M29" s="40">
        <f t="shared" si="3"/>
        <v>12.582445605750127</v>
      </c>
      <c r="N29" s="40">
        <f t="shared" si="3"/>
        <v>12.40934033809333</v>
      </c>
      <c r="O29" s="40">
        <f t="shared" si="3"/>
        <v>12.108599488745114</v>
      </c>
      <c r="P29" s="40">
        <f t="shared" si="3"/>
        <v>11.926730766913192</v>
      </c>
      <c r="Q29" s="40">
        <f t="shared" si="3"/>
        <v>11.740315327035471</v>
      </c>
      <c r="R29" s="40">
        <f t="shared" si="3"/>
        <v>11.549239501160809</v>
      </c>
    </row>
    <row r="30" spans="1:18" x14ac:dyDescent="0.2">
      <c r="A30" s="4" t="s">
        <v>270</v>
      </c>
      <c r="B30" s="4" t="s">
        <v>228</v>
      </c>
      <c r="C30" s="40">
        <v>0</v>
      </c>
      <c r="D30" s="40">
        <f t="shared" ref="D30:R30" si="4">C33</f>
        <v>0</v>
      </c>
      <c r="E30" s="40">
        <f t="shared" si="4"/>
        <v>8.2058937220097867</v>
      </c>
      <c r="F30" s="40">
        <f t="shared" si="4"/>
        <v>30.702105479597712</v>
      </c>
      <c r="G30" s="40">
        <f t="shared" si="4"/>
        <v>38.763131261264633</v>
      </c>
      <c r="H30" s="40">
        <f t="shared" si="4"/>
        <v>38.272180490794554</v>
      </c>
      <c r="I30" s="40">
        <f t="shared" si="4"/>
        <v>37.99929058414984</v>
      </c>
      <c r="J30" s="40">
        <f t="shared" si="4"/>
        <v>32.655241890859735</v>
      </c>
      <c r="K30" s="40">
        <f t="shared" si="4"/>
        <v>22.243094407584756</v>
      </c>
      <c r="L30" s="40">
        <f t="shared" si="4"/>
        <v>12.008866463968342</v>
      </c>
      <c r="M30" s="40">
        <f t="shared" si="4"/>
        <v>1.8571266090019591</v>
      </c>
      <c r="N30" s="40">
        <f t="shared" si="4"/>
        <v>0</v>
      </c>
      <c r="O30" s="40">
        <f t="shared" si="4"/>
        <v>0</v>
      </c>
      <c r="P30" s="40">
        <f t="shared" si="4"/>
        <v>0</v>
      </c>
      <c r="Q30" s="40">
        <f t="shared" si="4"/>
        <v>0</v>
      </c>
      <c r="R30" s="40">
        <f t="shared" si="4"/>
        <v>0</v>
      </c>
    </row>
    <row r="31" spans="1:18" x14ac:dyDescent="0.2">
      <c r="A31" s="4" t="s">
        <v>524</v>
      </c>
      <c r="B31" s="4" t="s">
        <v>228</v>
      </c>
      <c r="C31" s="40">
        <f>MIN(C30,Inputs!$C$39*MAX(0,C29))</f>
        <v>0</v>
      </c>
      <c r="D31" s="40">
        <f>MIN(D30,Inputs!$C$39*MAX(0,D29))</f>
        <v>0</v>
      </c>
      <c r="E31" s="40">
        <f>MIN(E30,Inputs!$C$39*MAX(0,E29))</f>
        <v>0</v>
      </c>
      <c r="F31" s="40">
        <f>MIN(F30,Inputs!$C$39*MAX(0,F29))</f>
        <v>0</v>
      </c>
      <c r="G31" s="40">
        <f>MIN(G30,Inputs!$C$39*MAX(0,G29))</f>
        <v>0.49095077047008007</v>
      </c>
      <c r="H31" s="40">
        <f>MIN(H30,Inputs!$C$39*MAX(0,H29))</f>
        <v>0.27288990664471413</v>
      </c>
      <c r="I31" s="40">
        <f>MIN(I30,Inputs!$C$39*MAX(0,I29))</f>
        <v>5.3440486932901061</v>
      </c>
      <c r="J31" s="40">
        <f>MIN(J30,Inputs!$C$39*MAX(0,J29))</f>
        <v>10.412147483274978</v>
      </c>
      <c r="K31" s="40">
        <f>MIN(K30,Inputs!$C$39*MAX(0,K29))</f>
        <v>10.234227943616414</v>
      </c>
      <c r="L31" s="40">
        <f>MIN(L30,Inputs!$C$39*MAX(0,L29))</f>
        <v>10.151739854966383</v>
      </c>
      <c r="M31" s="40">
        <f>MIN(M30,Inputs!$C$39*MAX(0,M29))</f>
        <v>1.8571266090019591</v>
      </c>
      <c r="N31" s="40">
        <f>MIN(N30,Inputs!$C$39*MAX(0,N29))</f>
        <v>0</v>
      </c>
      <c r="O31" s="40">
        <f>MIN(O30,Inputs!$C$39*MAX(0,O29))</f>
        <v>0</v>
      </c>
      <c r="P31" s="40">
        <f>MIN(P30,Inputs!$C$39*MAX(0,P29))</f>
        <v>0</v>
      </c>
      <c r="Q31" s="40">
        <f>MIN(Q30,Inputs!$C$39*MAX(0,Q29))</f>
        <v>0</v>
      </c>
      <c r="R31" s="40">
        <f>MIN(R30,Inputs!$C$39*MAX(0,R29))</f>
        <v>0</v>
      </c>
    </row>
    <row r="32" spans="1:18" x14ac:dyDescent="0.2">
      <c r="A32" s="4" t="s">
        <v>271</v>
      </c>
      <c r="B32" s="4" t="s">
        <v>228</v>
      </c>
      <c r="C32" s="40">
        <f t="shared" ref="C32:R32" si="5">MAX(0,C29)-C31</f>
        <v>0</v>
      </c>
      <c r="D32" s="40">
        <f t="shared" si="5"/>
        <v>0</v>
      </c>
      <c r="E32" s="40">
        <f t="shared" si="5"/>
        <v>0</v>
      </c>
      <c r="F32" s="40">
        <f t="shared" si="5"/>
        <v>0</v>
      </c>
      <c r="G32" s="40">
        <f t="shared" si="5"/>
        <v>0.12273769261751999</v>
      </c>
      <c r="H32" s="40">
        <f t="shared" si="5"/>
        <v>6.8222476661178533E-2</v>
      </c>
      <c r="I32" s="40">
        <f t="shared" si="5"/>
        <v>1.3360121733225263</v>
      </c>
      <c r="J32" s="40">
        <f t="shared" si="5"/>
        <v>2.6030368708187446</v>
      </c>
      <c r="K32" s="40">
        <f t="shared" si="5"/>
        <v>2.5585569859041026</v>
      </c>
      <c r="L32" s="40">
        <f t="shared" si="5"/>
        <v>2.5379349637415949</v>
      </c>
      <c r="M32" s="40">
        <f t="shared" si="5"/>
        <v>10.725318996748168</v>
      </c>
      <c r="N32" s="40">
        <f t="shared" si="5"/>
        <v>12.40934033809333</v>
      </c>
      <c r="O32" s="40">
        <f t="shared" si="5"/>
        <v>12.108599488745114</v>
      </c>
      <c r="P32" s="40">
        <f t="shared" si="5"/>
        <v>11.926730766913192</v>
      </c>
      <c r="Q32" s="40">
        <f t="shared" si="5"/>
        <v>11.740315327035471</v>
      </c>
      <c r="R32" s="40">
        <f t="shared" si="5"/>
        <v>11.549239501160809</v>
      </c>
    </row>
    <row r="33" spans="1:18" x14ac:dyDescent="0.2">
      <c r="A33" s="4" t="s">
        <v>525</v>
      </c>
      <c r="B33" s="4" t="s">
        <v>228</v>
      </c>
      <c r="C33" s="40">
        <f t="shared" ref="C33:R33" si="6">C30-C31+MAX(0,-C29)</f>
        <v>0</v>
      </c>
      <c r="D33" s="40">
        <f t="shared" si="6"/>
        <v>8.2058937220097867</v>
      </c>
      <c r="E33" s="40">
        <f t="shared" si="6"/>
        <v>30.702105479597712</v>
      </c>
      <c r="F33" s="40">
        <f t="shared" si="6"/>
        <v>38.763131261264633</v>
      </c>
      <c r="G33" s="40">
        <f t="shared" si="6"/>
        <v>38.272180490794554</v>
      </c>
      <c r="H33" s="40">
        <f t="shared" si="6"/>
        <v>37.99929058414984</v>
      </c>
      <c r="I33" s="40">
        <f t="shared" si="6"/>
        <v>32.655241890859735</v>
      </c>
      <c r="J33" s="40">
        <f t="shared" si="6"/>
        <v>22.243094407584756</v>
      </c>
      <c r="K33" s="40">
        <f t="shared" si="6"/>
        <v>12.008866463968342</v>
      </c>
      <c r="L33" s="40">
        <f t="shared" si="6"/>
        <v>1.8571266090019591</v>
      </c>
      <c r="M33" s="40">
        <f t="shared" si="6"/>
        <v>0</v>
      </c>
      <c r="N33" s="40">
        <f t="shared" si="6"/>
        <v>0</v>
      </c>
      <c r="O33" s="40">
        <f t="shared" si="6"/>
        <v>0</v>
      </c>
      <c r="P33" s="40">
        <f t="shared" si="6"/>
        <v>0</v>
      </c>
      <c r="Q33" s="40">
        <f t="shared" si="6"/>
        <v>0</v>
      </c>
      <c r="R33" s="40">
        <f t="shared" si="6"/>
        <v>0</v>
      </c>
    </row>
    <row r="34" spans="1:18" x14ac:dyDescent="0.2">
      <c r="A34" s="4" t="s">
        <v>272</v>
      </c>
      <c r="B34" s="4" t="s">
        <v>228</v>
      </c>
      <c r="C34" s="40">
        <f>-Costs!$B$23*C32</f>
        <v>0</v>
      </c>
      <c r="D34" s="40">
        <f>-Costs!$B$23*D32</f>
        <v>0</v>
      </c>
      <c r="E34" s="40">
        <f>-Costs!$B$23*E32</f>
        <v>0</v>
      </c>
      <c r="F34" s="40">
        <f>-Costs!$B$23*F32</f>
        <v>0</v>
      </c>
      <c r="G34" s="40">
        <f>-Costs!$B$23*G32</f>
        <v>-3.1592682079749641E-2</v>
      </c>
      <c r="H34" s="40">
        <f>-Costs!$B$23*H32</f>
        <v>-1.756046549258735E-2</v>
      </c>
      <c r="I34" s="40">
        <f>-Costs!$B$23*I32</f>
        <v>-0.34388953341321821</v>
      </c>
      <c r="J34" s="40">
        <f>-Costs!$B$23*J32</f>
        <v>-0.67002169054874472</v>
      </c>
      <c r="K34" s="40">
        <f>-Costs!$B$23*K32</f>
        <v>-0.65857256817171594</v>
      </c>
      <c r="L34" s="40">
        <f>-Costs!$B$23*L32</f>
        <v>-0.65326445966708646</v>
      </c>
      <c r="M34" s="40">
        <f>-Costs!$B$23*M32</f>
        <v>-2.7606971097629782</v>
      </c>
      <c r="N34" s="40">
        <f>-Costs!$B$23*N32</f>
        <v>-3.1941642030252226</v>
      </c>
      <c r="O34" s="40">
        <f>-Costs!$B$23*O32</f>
        <v>-3.1167535084029918</v>
      </c>
      <c r="P34" s="40">
        <f>-Costs!$B$23*P32</f>
        <v>-3.0699404994034549</v>
      </c>
      <c r="Q34" s="40">
        <f>-Costs!$B$23*Q32</f>
        <v>-3.0219571651789301</v>
      </c>
      <c r="R34" s="40">
        <f>-Costs!$B$23*R32</f>
        <v>-2.9727742475987919</v>
      </c>
    </row>
    <row r="35" spans="1:18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spans="1:18" x14ac:dyDescent="0.2">
      <c r="A36" s="49" t="s">
        <v>526</v>
      </c>
      <c r="B36" s="50" t="s">
        <v>228</v>
      </c>
      <c r="C36" s="39">
        <f t="shared" ref="C36:R36" si="7">C21+C34+C23+C24</f>
        <v>-135.11552831562497</v>
      </c>
      <c r="D36" s="39">
        <f t="shared" si="7"/>
        <v>51.244938736865194</v>
      </c>
      <c r="E36" s="39">
        <f t="shared" si="7"/>
        <v>14.255211944262069</v>
      </c>
      <c r="F36" s="39">
        <f t="shared" si="7"/>
        <v>13.98982843944307</v>
      </c>
      <c r="G36" s="39">
        <f t="shared" si="7"/>
        <v>13.812608313673847</v>
      </c>
      <c r="H36" s="39">
        <f t="shared" si="7"/>
        <v>13.5540644504793</v>
      </c>
      <c r="I36" s="39">
        <f t="shared" si="7"/>
        <v>12.951427599532412</v>
      </c>
      <c r="J36" s="39">
        <f t="shared" si="7"/>
        <v>12.345162663544977</v>
      </c>
      <c r="K36" s="39">
        <f t="shared" si="7"/>
        <v>12.134212361348801</v>
      </c>
      <c r="L36" s="39">
        <f t="shared" si="7"/>
        <v>12.036410359040891</v>
      </c>
      <c r="M36" s="39">
        <f t="shared" si="7"/>
        <v>9.8217484959871495</v>
      </c>
      <c r="N36" s="39">
        <f t="shared" si="7"/>
        <v>9.2151761350681074</v>
      </c>
      <c r="O36" s="39">
        <f t="shared" si="7"/>
        <v>8.9918459803421218</v>
      </c>
      <c r="P36" s="39">
        <f t="shared" si="7"/>
        <v>8.8567902675097372</v>
      </c>
      <c r="Q36" s="39">
        <f t="shared" si="7"/>
        <v>8.7183581618565409</v>
      </c>
      <c r="R36" s="39">
        <f t="shared" si="7"/>
        <v>8.5764652535620165</v>
      </c>
    </row>
    <row r="37" spans="1:18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18" x14ac:dyDescent="0.2">
      <c r="A38" s="3" t="s">
        <v>527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</row>
    <row r="39" spans="1:18" x14ac:dyDescent="0.2">
      <c r="A39" s="4" t="s">
        <v>273</v>
      </c>
      <c r="B39" s="4" t="s">
        <v>33</v>
      </c>
      <c r="C39" s="24">
        <f>D10/D12</f>
        <v>0.74938464938237637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spans="1:18" x14ac:dyDescent="0.2">
      <c r="A40" s="4" t="s">
        <v>528</v>
      </c>
      <c r="B40" s="4" t="s">
        <v>94</v>
      </c>
      <c r="C40" s="44">
        <f>C39*Inputs!$C$55+(1-C39)*Inputs!$C$56</f>
        <v>1.4004922804940989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spans="1:18" x14ac:dyDescent="0.2">
      <c r="A41" s="4" t="s">
        <v>529</v>
      </c>
      <c r="B41" s="4" t="s">
        <v>228</v>
      </c>
      <c r="C41" s="40" t="str">
        <f t="shared" ref="C41:R41" si="8">IF(C6=1,C21+C34,"")</f>
        <v/>
      </c>
      <c r="D41" s="40">
        <f t="shared" si="8"/>
        <v>14.763746091646457</v>
      </c>
      <c r="E41" s="40">
        <f t="shared" si="8"/>
        <v>14.255211944262069</v>
      </c>
      <c r="F41" s="40">
        <f t="shared" si="8"/>
        <v>13.98982843944307</v>
      </c>
      <c r="G41" s="40">
        <f t="shared" si="8"/>
        <v>13.812608313673847</v>
      </c>
      <c r="H41" s="40">
        <f t="shared" si="8"/>
        <v>13.5540644504793</v>
      </c>
      <c r="I41" s="40">
        <f t="shared" si="8"/>
        <v>12.951427599532412</v>
      </c>
      <c r="J41" s="40">
        <f t="shared" si="8"/>
        <v>12.345162663544977</v>
      </c>
      <c r="K41" s="40">
        <f t="shared" si="8"/>
        <v>12.134212361348801</v>
      </c>
      <c r="L41" s="40">
        <f t="shared" si="8"/>
        <v>12.036410359040891</v>
      </c>
      <c r="M41" s="40">
        <f t="shared" si="8"/>
        <v>9.8217484959871495</v>
      </c>
      <c r="N41" s="40">
        <f t="shared" si="8"/>
        <v>9.2151761350681074</v>
      </c>
      <c r="O41" s="40">
        <f t="shared" si="8"/>
        <v>8.9918459803421218</v>
      </c>
      <c r="P41" s="40">
        <f t="shared" si="8"/>
        <v>8.8567902675097372</v>
      </c>
      <c r="Q41" s="40">
        <f t="shared" si="8"/>
        <v>8.7183581618565409</v>
      </c>
      <c r="R41" s="40">
        <f t="shared" si="8"/>
        <v>8.5764652535620165</v>
      </c>
    </row>
    <row r="42" spans="1:18" x14ac:dyDescent="0.2">
      <c r="A42" s="4" t="s">
        <v>274</v>
      </c>
      <c r="B42" s="4" t="s">
        <v>228</v>
      </c>
      <c r="C42" s="40">
        <f>MIN(C41:R41)</f>
        <v>8.5764652535620165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</row>
    <row r="43" spans="1:18" x14ac:dyDescent="0.2">
      <c r="A43" s="4" t="s">
        <v>530</v>
      </c>
      <c r="B43" s="4" t="s">
        <v>228</v>
      </c>
      <c r="C43" s="40">
        <f>C42/C40</f>
        <v>6.1238932716831593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spans="1:18" x14ac:dyDescent="0.2">
      <c r="A44" s="4" t="s">
        <v>531</v>
      </c>
      <c r="B44" s="4" t="s">
        <v>228</v>
      </c>
      <c r="C44" s="48">
        <f>PV(Costs!$B$26,Inputs!$C$54,-C43)</f>
        <v>55.705503681805503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</row>
    <row r="45" spans="1:18" x14ac:dyDescent="0.2">
      <c r="A45" s="4" t="s">
        <v>275</v>
      </c>
      <c r="B45" s="4" t="s">
        <v>228</v>
      </c>
      <c r="C45" s="40">
        <v>0</v>
      </c>
      <c r="D45" s="40">
        <f t="shared" ref="D45:R45" si="9">C49</f>
        <v>55.705503681805503</v>
      </c>
      <c r="E45" s="40">
        <f t="shared" si="9"/>
        <v>53.492136768585091</v>
      </c>
      <c r="F45" s="40">
        <f t="shared" si="9"/>
        <v>51.123391498056606</v>
      </c>
      <c r="G45" s="40">
        <f t="shared" si="9"/>
        <v>48.588360309537023</v>
      </c>
      <c r="H45" s="40">
        <f t="shared" si="9"/>
        <v>45.875369931583364</v>
      </c>
      <c r="I45" s="40">
        <f t="shared" si="9"/>
        <v>42.971927629097358</v>
      </c>
      <c r="J45" s="40">
        <f t="shared" si="9"/>
        <v>39.864663676976832</v>
      </c>
      <c r="K45" s="40">
        <f t="shared" si="9"/>
        <v>36.539269795417447</v>
      </c>
      <c r="L45" s="40">
        <f t="shared" si="9"/>
        <v>32.980433263372589</v>
      </c>
      <c r="M45" s="40">
        <f t="shared" si="9"/>
        <v>29.171766406778186</v>
      </c>
      <c r="N45" s="40">
        <f t="shared" si="9"/>
        <v>25.095731136850855</v>
      </c>
      <c r="O45" s="40">
        <f t="shared" si="9"/>
        <v>20.733558190974627</v>
      </c>
      <c r="P45" s="40">
        <f t="shared" si="9"/>
        <v>16.065160704297888</v>
      </c>
      <c r="Q45" s="40">
        <f t="shared" si="9"/>
        <v>11.069041714056441</v>
      </c>
      <c r="R45" s="40">
        <f t="shared" si="9"/>
        <v>5.7221951707000436</v>
      </c>
    </row>
    <row r="46" spans="1:18" x14ac:dyDescent="0.2">
      <c r="A46" s="4" t="s">
        <v>276</v>
      </c>
      <c r="B46" s="4" t="s">
        <v>228</v>
      </c>
      <c r="C46" s="40">
        <f t="shared" ref="C46:R46" si="10">$C$44*(C3=0)</f>
        <v>55.705503681805503</v>
      </c>
      <c r="D46" s="40">
        <f t="shared" si="10"/>
        <v>0</v>
      </c>
      <c r="E46" s="40">
        <f t="shared" si="10"/>
        <v>0</v>
      </c>
      <c r="F46" s="40">
        <f t="shared" si="10"/>
        <v>0</v>
      </c>
      <c r="G46" s="40">
        <f t="shared" si="10"/>
        <v>0</v>
      </c>
      <c r="H46" s="40">
        <f t="shared" si="10"/>
        <v>0</v>
      </c>
      <c r="I46" s="40">
        <f t="shared" si="10"/>
        <v>0</v>
      </c>
      <c r="J46" s="40">
        <f t="shared" si="10"/>
        <v>0</v>
      </c>
      <c r="K46" s="40">
        <f t="shared" si="10"/>
        <v>0</v>
      </c>
      <c r="L46" s="40">
        <f t="shared" si="10"/>
        <v>0</v>
      </c>
      <c r="M46" s="40">
        <f t="shared" si="10"/>
        <v>0</v>
      </c>
      <c r="N46" s="40">
        <f t="shared" si="10"/>
        <v>0</v>
      </c>
      <c r="O46" s="40">
        <f t="shared" si="10"/>
        <v>0</v>
      </c>
      <c r="P46" s="40">
        <f t="shared" si="10"/>
        <v>0</v>
      </c>
      <c r="Q46" s="40">
        <f t="shared" si="10"/>
        <v>0</v>
      </c>
      <c r="R46" s="40">
        <f t="shared" si="10"/>
        <v>0</v>
      </c>
    </row>
    <row r="47" spans="1:18" x14ac:dyDescent="0.2">
      <c r="A47" s="4" t="s">
        <v>277</v>
      </c>
      <c r="B47" s="4" t="s">
        <v>228</v>
      </c>
      <c r="C47" s="40">
        <f>-C45*Costs!$B$26*C6</f>
        <v>0</v>
      </c>
      <c r="D47" s="40">
        <f>-D45*Costs!$B$26*D6</f>
        <v>-3.910526358462747</v>
      </c>
      <c r="E47" s="40">
        <f>-E45*Costs!$B$26*E6</f>
        <v>-3.7551480011546738</v>
      </c>
      <c r="F47" s="40">
        <f>-F45*Costs!$B$26*F6</f>
        <v>-3.5888620831635745</v>
      </c>
      <c r="G47" s="40">
        <f>-G45*Costs!$B$26*G6</f>
        <v>-3.4109028937294998</v>
      </c>
      <c r="H47" s="40">
        <f>-H45*Costs!$B$26*H6</f>
        <v>-3.2204509691971528</v>
      </c>
      <c r="I47" s="40">
        <f>-I45*Costs!$B$26*I6</f>
        <v>-3.016629319562635</v>
      </c>
      <c r="J47" s="40">
        <f>-J45*Costs!$B$26*J6</f>
        <v>-2.7984993901237742</v>
      </c>
      <c r="K47" s="40">
        <f>-K45*Costs!$B$26*K6</f>
        <v>-2.5650567396383051</v>
      </c>
      <c r="L47" s="40">
        <f>-L45*Costs!$B$26*L6</f>
        <v>-2.3152264150887563</v>
      </c>
      <c r="M47" s="40">
        <f>-M45*Costs!$B$26*M6</f>
        <v>-2.047858001755829</v>
      </c>
      <c r="N47" s="40">
        <f>-N45*Costs!$B$26*N6</f>
        <v>-1.7617203258069303</v>
      </c>
      <c r="O47" s="40">
        <f>-O45*Costs!$B$26*O6</f>
        <v>-1.455495785006419</v>
      </c>
      <c r="P47" s="40">
        <f>-P45*Costs!$B$26*P6</f>
        <v>-1.127774281441712</v>
      </c>
      <c r="Q47" s="40">
        <f>-Q45*Costs!$B$26*Q6</f>
        <v>-0.77704672832676225</v>
      </c>
      <c r="R47" s="40">
        <f>-R45*Costs!$B$26*R6</f>
        <v>-0.40169810098314312</v>
      </c>
    </row>
    <row r="48" spans="1:18" x14ac:dyDescent="0.2">
      <c r="A48" s="4" t="s">
        <v>532</v>
      </c>
      <c r="B48" s="4" t="s">
        <v>228</v>
      </c>
      <c r="C48" s="40">
        <f t="shared" ref="C48:R48" si="11">C50-C47</f>
        <v>0</v>
      </c>
      <c r="D48" s="40">
        <f t="shared" si="11"/>
        <v>-2.2133669132204123</v>
      </c>
      <c r="E48" s="40">
        <f t="shared" si="11"/>
        <v>-2.3687452705284855</v>
      </c>
      <c r="F48" s="40">
        <f t="shared" si="11"/>
        <v>-2.5350311885195849</v>
      </c>
      <c r="G48" s="40">
        <f t="shared" si="11"/>
        <v>-2.7129903779536595</v>
      </c>
      <c r="H48" s="40">
        <f t="shared" si="11"/>
        <v>-2.9034423024860065</v>
      </c>
      <c r="I48" s="40">
        <f t="shared" si="11"/>
        <v>-3.1072639521205243</v>
      </c>
      <c r="J48" s="40">
        <f t="shared" si="11"/>
        <v>-3.3253938815593851</v>
      </c>
      <c r="K48" s="40">
        <f t="shared" si="11"/>
        <v>-3.5588365320448543</v>
      </c>
      <c r="L48" s="40">
        <f t="shared" si="11"/>
        <v>-3.8086668565944031</v>
      </c>
      <c r="M48" s="40">
        <f t="shared" si="11"/>
        <v>-4.0760352699273303</v>
      </c>
      <c r="N48" s="40">
        <f t="shared" si="11"/>
        <v>-4.3621729458762291</v>
      </c>
      <c r="O48" s="40">
        <f t="shared" si="11"/>
        <v>-4.6683974866767404</v>
      </c>
      <c r="P48" s="40">
        <f t="shared" si="11"/>
        <v>-4.9961189902414471</v>
      </c>
      <c r="Q48" s="40">
        <f t="shared" si="11"/>
        <v>-5.3468465433563974</v>
      </c>
      <c r="R48" s="40">
        <f t="shared" si="11"/>
        <v>-5.722195170700016</v>
      </c>
    </row>
    <row r="49" spans="1:18" x14ac:dyDescent="0.2">
      <c r="A49" s="4" t="s">
        <v>278</v>
      </c>
      <c r="B49" s="4" t="s">
        <v>228</v>
      </c>
      <c r="C49" s="40">
        <f t="shared" ref="C49:R49" si="12">C45+C46+C48</f>
        <v>55.705503681805503</v>
      </c>
      <c r="D49" s="40">
        <f t="shared" si="12"/>
        <v>53.492136768585091</v>
      </c>
      <c r="E49" s="40">
        <f t="shared" si="12"/>
        <v>51.123391498056606</v>
      </c>
      <c r="F49" s="40">
        <f t="shared" si="12"/>
        <v>48.588360309537023</v>
      </c>
      <c r="G49" s="40">
        <f t="shared" si="12"/>
        <v>45.875369931583364</v>
      </c>
      <c r="H49" s="40">
        <f t="shared" si="12"/>
        <v>42.971927629097358</v>
      </c>
      <c r="I49" s="40">
        <f t="shared" si="12"/>
        <v>39.864663676976832</v>
      </c>
      <c r="J49" s="40">
        <f t="shared" si="12"/>
        <v>36.539269795417447</v>
      </c>
      <c r="K49" s="40">
        <f t="shared" si="12"/>
        <v>32.980433263372589</v>
      </c>
      <c r="L49" s="40">
        <f t="shared" si="12"/>
        <v>29.171766406778186</v>
      </c>
      <c r="M49" s="40">
        <f t="shared" si="12"/>
        <v>25.095731136850855</v>
      </c>
      <c r="N49" s="40">
        <f t="shared" si="12"/>
        <v>20.733558190974627</v>
      </c>
      <c r="O49" s="40">
        <f t="shared" si="12"/>
        <v>16.065160704297888</v>
      </c>
      <c r="P49" s="40">
        <f t="shared" si="12"/>
        <v>11.069041714056441</v>
      </c>
      <c r="Q49" s="40">
        <f t="shared" si="12"/>
        <v>5.7221951707000436</v>
      </c>
      <c r="R49" s="40">
        <f t="shared" si="12"/>
        <v>2.7533531010703882E-14</v>
      </c>
    </row>
    <row r="50" spans="1:18" x14ac:dyDescent="0.2">
      <c r="A50" s="4" t="s">
        <v>533</v>
      </c>
      <c r="B50" s="4" t="s">
        <v>228</v>
      </c>
      <c r="C50" s="40">
        <f t="shared" ref="C50:R50" si="13">-$C$43*C6</f>
        <v>0</v>
      </c>
      <c r="D50" s="40">
        <f t="shared" si="13"/>
        <v>-6.1238932716831593</v>
      </c>
      <c r="E50" s="40">
        <f t="shared" si="13"/>
        <v>-6.1238932716831593</v>
      </c>
      <c r="F50" s="40">
        <f t="shared" si="13"/>
        <v>-6.1238932716831593</v>
      </c>
      <c r="G50" s="40">
        <f t="shared" si="13"/>
        <v>-6.1238932716831593</v>
      </c>
      <c r="H50" s="40">
        <f t="shared" si="13"/>
        <v>-6.1238932716831593</v>
      </c>
      <c r="I50" s="40">
        <f t="shared" si="13"/>
        <v>-6.1238932716831593</v>
      </c>
      <c r="J50" s="40">
        <f t="shared" si="13"/>
        <v>-6.1238932716831593</v>
      </c>
      <c r="K50" s="40">
        <f t="shared" si="13"/>
        <v>-6.1238932716831593</v>
      </c>
      <c r="L50" s="40">
        <f t="shared" si="13"/>
        <v>-6.1238932716831593</v>
      </c>
      <c r="M50" s="40">
        <f t="shared" si="13"/>
        <v>-6.1238932716831593</v>
      </c>
      <c r="N50" s="40">
        <f t="shared" si="13"/>
        <v>-6.1238932716831593</v>
      </c>
      <c r="O50" s="40">
        <f t="shared" si="13"/>
        <v>-6.1238932716831593</v>
      </c>
      <c r="P50" s="40">
        <f t="shared" si="13"/>
        <v>-6.1238932716831593</v>
      </c>
      <c r="Q50" s="40">
        <f t="shared" si="13"/>
        <v>-6.1238932716831593</v>
      </c>
      <c r="R50" s="40">
        <f t="shared" si="13"/>
        <v>-6.1238932716831593</v>
      </c>
    </row>
    <row r="51" spans="1:18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 spans="1:18" x14ac:dyDescent="0.2">
      <c r="A52" s="3" t="s">
        <v>534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</row>
    <row r="53" spans="1:18" x14ac:dyDescent="0.2">
      <c r="A53" s="4" t="s">
        <v>535</v>
      </c>
      <c r="B53" s="4" t="s">
        <v>228</v>
      </c>
      <c r="C53" s="40">
        <f t="shared" ref="C53:R53" si="14">C21+C28+C47</f>
        <v>0</v>
      </c>
      <c r="D53" s="40">
        <f t="shared" si="14"/>
        <v>-12.116420080472533</v>
      </c>
      <c r="E53" s="40">
        <f t="shared" si="14"/>
        <v>-26.251359758742598</v>
      </c>
      <c r="F53" s="40">
        <f t="shared" si="14"/>
        <v>-11.649887864830498</v>
      </c>
      <c r="G53" s="40">
        <f t="shared" si="14"/>
        <v>-2.7972144306418998</v>
      </c>
      <c r="H53" s="40">
        <f t="shared" si="14"/>
        <v>-2.8793385858912601</v>
      </c>
      <c r="I53" s="40">
        <f t="shared" si="14"/>
        <v>3.6634315470499974</v>
      </c>
      <c r="J53" s="40">
        <f t="shared" si="14"/>
        <v>10.216684963969948</v>
      </c>
      <c r="K53" s="40">
        <f t="shared" si="14"/>
        <v>10.227728189882212</v>
      </c>
      <c r="L53" s="40">
        <f t="shared" si="14"/>
        <v>10.374448403619223</v>
      </c>
      <c r="M53" s="40">
        <f t="shared" si="14"/>
        <v>10.534587603994298</v>
      </c>
      <c r="N53" s="40">
        <f t="shared" si="14"/>
        <v>10.647620012286399</v>
      </c>
      <c r="O53" s="40">
        <f t="shared" si="14"/>
        <v>10.653103703738694</v>
      </c>
      <c r="P53" s="40">
        <f t="shared" si="14"/>
        <v>10.79895648547148</v>
      </c>
      <c r="Q53" s="40">
        <f t="shared" si="14"/>
        <v>10.963268598708709</v>
      </c>
      <c r="R53" s="40">
        <f t="shared" si="14"/>
        <v>11.147541400177666</v>
      </c>
    </row>
    <row r="54" spans="1:18" x14ac:dyDescent="0.2">
      <c r="A54" s="4" t="s">
        <v>270</v>
      </c>
      <c r="B54" s="4" t="s">
        <v>228</v>
      </c>
      <c r="C54" s="40">
        <v>0</v>
      </c>
      <c r="D54" s="40">
        <f t="shared" ref="D54:R54" si="15">C57</f>
        <v>0</v>
      </c>
      <c r="E54" s="40">
        <f t="shared" si="15"/>
        <v>12.116420080472533</v>
      </c>
      <c r="F54" s="40">
        <f t="shared" si="15"/>
        <v>38.367779839215132</v>
      </c>
      <c r="G54" s="40">
        <f t="shared" si="15"/>
        <v>50.017667704045628</v>
      </c>
      <c r="H54" s="40">
        <f t="shared" si="15"/>
        <v>52.814882134687529</v>
      </c>
      <c r="I54" s="40">
        <f t="shared" si="15"/>
        <v>55.694220720578791</v>
      </c>
      <c r="J54" s="40">
        <f t="shared" si="15"/>
        <v>52.763475482938794</v>
      </c>
      <c r="K54" s="40">
        <f t="shared" si="15"/>
        <v>44.590127511762837</v>
      </c>
      <c r="L54" s="40">
        <f t="shared" si="15"/>
        <v>36.407944959857069</v>
      </c>
      <c r="M54" s="40">
        <f t="shared" si="15"/>
        <v>28.108386236961692</v>
      </c>
      <c r="N54" s="40">
        <f t="shared" si="15"/>
        <v>19.680716153766255</v>
      </c>
      <c r="O54" s="40">
        <f t="shared" si="15"/>
        <v>11.162620143937135</v>
      </c>
      <c r="P54" s="40">
        <f t="shared" si="15"/>
        <v>2.64013718094618</v>
      </c>
      <c r="Q54" s="40">
        <f t="shared" si="15"/>
        <v>0</v>
      </c>
      <c r="R54" s="40">
        <f t="shared" si="15"/>
        <v>0</v>
      </c>
    </row>
    <row r="55" spans="1:18" x14ac:dyDescent="0.2">
      <c r="A55" s="4" t="s">
        <v>536</v>
      </c>
      <c r="B55" s="4" t="s">
        <v>228</v>
      </c>
      <c r="C55" s="40">
        <f>MIN(C54,Inputs!$C$39*MAX(0,C53))</f>
        <v>0</v>
      </c>
      <c r="D55" s="40">
        <f>MIN(D54,Inputs!$C$39*MAX(0,D53))</f>
        <v>0</v>
      </c>
      <c r="E55" s="40">
        <f>MIN(E54,Inputs!$C$39*MAX(0,E53))</f>
        <v>0</v>
      </c>
      <c r="F55" s="40">
        <f>MIN(F54,Inputs!$C$39*MAX(0,F53))</f>
        <v>0</v>
      </c>
      <c r="G55" s="40">
        <f>MIN(G54,Inputs!$C$39*MAX(0,G53))</f>
        <v>0</v>
      </c>
      <c r="H55" s="40">
        <f>MIN(H54,Inputs!$C$39*MAX(0,H53))</f>
        <v>0</v>
      </c>
      <c r="I55" s="40">
        <f>MIN(I54,Inputs!$C$39*MAX(0,I53))</f>
        <v>2.9307452376399983</v>
      </c>
      <c r="J55" s="40">
        <f>MIN(J54,Inputs!$C$39*MAX(0,J53))</f>
        <v>8.1733479711759589</v>
      </c>
      <c r="K55" s="40">
        <f>MIN(K54,Inputs!$C$39*MAX(0,K53))</f>
        <v>8.18218255190577</v>
      </c>
      <c r="L55" s="40">
        <f>MIN(L54,Inputs!$C$39*MAX(0,L53))</f>
        <v>8.2995587228953784</v>
      </c>
      <c r="M55" s="40">
        <f>MIN(M54,Inputs!$C$39*MAX(0,M53))</f>
        <v>8.427670083195439</v>
      </c>
      <c r="N55" s="40">
        <f>MIN(N54,Inputs!$C$39*MAX(0,N53))</f>
        <v>8.5180960098291205</v>
      </c>
      <c r="O55" s="40">
        <f>MIN(O54,Inputs!$C$39*MAX(0,O53))</f>
        <v>8.5224829629909546</v>
      </c>
      <c r="P55" s="40">
        <f>MIN(P54,Inputs!$C$39*MAX(0,P53))</f>
        <v>2.64013718094618</v>
      </c>
      <c r="Q55" s="40">
        <f>MIN(Q54,Inputs!$C$39*MAX(0,Q53))</f>
        <v>0</v>
      </c>
      <c r="R55" s="40">
        <f>MIN(R54,Inputs!$C$39*MAX(0,R53))</f>
        <v>0</v>
      </c>
    </row>
    <row r="56" spans="1:18" x14ac:dyDescent="0.2">
      <c r="A56" s="4" t="s">
        <v>271</v>
      </c>
      <c r="B56" s="4" t="s">
        <v>228</v>
      </c>
      <c r="C56" s="40">
        <f t="shared" ref="C56:R56" si="16">MAX(0,C53)-C55</f>
        <v>0</v>
      </c>
      <c r="D56" s="40">
        <f t="shared" si="16"/>
        <v>0</v>
      </c>
      <c r="E56" s="40">
        <f t="shared" si="16"/>
        <v>0</v>
      </c>
      <c r="F56" s="40">
        <f t="shared" si="16"/>
        <v>0</v>
      </c>
      <c r="G56" s="40">
        <f t="shared" si="16"/>
        <v>0</v>
      </c>
      <c r="H56" s="40">
        <f t="shared" si="16"/>
        <v>0</v>
      </c>
      <c r="I56" s="40">
        <f t="shared" si="16"/>
        <v>0.73268630940999913</v>
      </c>
      <c r="J56" s="40">
        <f t="shared" si="16"/>
        <v>2.0433369927939893</v>
      </c>
      <c r="K56" s="40">
        <f t="shared" si="16"/>
        <v>2.0455456379764421</v>
      </c>
      <c r="L56" s="40">
        <f t="shared" si="16"/>
        <v>2.0748896807238442</v>
      </c>
      <c r="M56" s="40">
        <f t="shared" si="16"/>
        <v>2.1069175207988593</v>
      </c>
      <c r="N56" s="40">
        <f t="shared" si="16"/>
        <v>2.1295240024572788</v>
      </c>
      <c r="O56" s="40">
        <f t="shared" si="16"/>
        <v>2.1306207407477391</v>
      </c>
      <c r="P56" s="40">
        <f t="shared" si="16"/>
        <v>8.1588193045253004</v>
      </c>
      <c r="Q56" s="40">
        <f t="shared" si="16"/>
        <v>10.963268598708709</v>
      </c>
      <c r="R56" s="40">
        <f t="shared" si="16"/>
        <v>11.147541400177666</v>
      </c>
    </row>
    <row r="57" spans="1:18" x14ac:dyDescent="0.2">
      <c r="A57" s="4" t="s">
        <v>537</v>
      </c>
      <c r="B57" s="4" t="s">
        <v>228</v>
      </c>
      <c r="C57" s="40">
        <f t="shared" ref="C57:R57" si="17">C54-C55+MAX(0,-C53)</f>
        <v>0</v>
      </c>
      <c r="D57" s="40">
        <f t="shared" si="17"/>
        <v>12.116420080472533</v>
      </c>
      <c r="E57" s="40">
        <f t="shared" si="17"/>
        <v>38.367779839215132</v>
      </c>
      <c r="F57" s="40">
        <f t="shared" si="17"/>
        <v>50.017667704045628</v>
      </c>
      <c r="G57" s="40">
        <f t="shared" si="17"/>
        <v>52.814882134687529</v>
      </c>
      <c r="H57" s="40">
        <f t="shared" si="17"/>
        <v>55.694220720578791</v>
      </c>
      <c r="I57" s="40">
        <f t="shared" si="17"/>
        <v>52.763475482938794</v>
      </c>
      <c r="J57" s="40">
        <f t="shared" si="17"/>
        <v>44.590127511762837</v>
      </c>
      <c r="K57" s="40">
        <f t="shared" si="17"/>
        <v>36.407944959857069</v>
      </c>
      <c r="L57" s="40">
        <f t="shared" si="17"/>
        <v>28.108386236961692</v>
      </c>
      <c r="M57" s="40">
        <f t="shared" si="17"/>
        <v>19.680716153766255</v>
      </c>
      <c r="N57" s="40">
        <f t="shared" si="17"/>
        <v>11.162620143937135</v>
      </c>
      <c r="O57" s="40">
        <f t="shared" si="17"/>
        <v>2.64013718094618</v>
      </c>
      <c r="P57" s="40">
        <f t="shared" si="17"/>
        <v>0</v>
      </c>
      <c r="Q57" s="40">
        <f t="shared" si="17"/>
        <v>0</v>
      </c>
      <c r="R57" s="40">
        <f t="shared" si="17"/>
        <v>0</v>
      </c>
    </row>
    <row r="58" spans="1:18" x14ac:dyDescent="0.2">
      <c r="A58" s="4" t="s">
        <v>279</v>
      </c>
      <c r="B58" s="4" t="s">
        <v>228</v>
      </c>
      <c r="C58" s="40">
        <f>-Costs!$B$23*C56</f>
        <v>0</v>
      </c>
      <c r="D58" s="40">
        <f>-Costs!$B$23*D56</f>
        <v>0</v>
      </c>
      <c r="E58" s="40">
        <f>-Costs!$B$23*E56</f>
        <v>0</v>
      </c>
      <c r="F58" s="40">
        <f>-Costs!$B$23*F56</f>
        <v>0</v>
      </c>
      <c r="G58" s="40">
        <f>-Costs!$B$23*G56</f>
        <v>0</v>
      </c>
      <c r="H58" s="40">
        <f>-Costs!$B$23*H56</f>
        <v>0</v>
      </c>
      <c r="I58" s="40">
        <f>-Costs!$B$23*I56</f>
        <v>-0.18859345604213373</v>
      </c>
      <c r="J58" s="40">
        <f>-Costs!$B$23*J56</f>
        <v>-0.52595494194517278</v>
      </c>
      <c r="K58" s="40">
        <f>-Costs!$B$23*K56</f>
        <v>-0.52652344721513611</v>
      </c>
      <c r="L58" s="40">
        <f>-Costs!$B$23*L56</f>
        <v>-0.53407660381831745</v>
      </c>
      <c r="M58" s="40">
        <f>-Costs!$B$23*M56</f>
        <v>-0.54232056985362631</v>
      </c>
      <c r="N58" s="40">
        <f>-Costs!$B$23*N56</f>
        <v>-0.54813947823250353</v>
      </c>
      <c r="O58" s="40">
        <f>-Costs!$B$23*O56</f>
        <v>-0.54842177866846797</v>
      </c>
      <c r="P58" s="40">
        <f>-Costs!$B$23*P56</f>
        <v>-2.1000800889848121</v>
      </c>
      <c r="Q58" s="40">
        <f>-Costs!$B$23*Q56</f>
        <v>-2.8219453373076213</v>
      </c>
      <c r="R58" s="40">
        <f>-Costs!$B$23*R56</f>
        <v>-2.8693771564057307</v>
      </c>
    </row>
    <row r="59" spans="1:18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 spans="1:18" x14ac:dyDescent="0.2">
      <c r="A60" s="3" t="s">
        <v>280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</row>
    <row r="61" spans="1:18" x14ac:dyDescent="0.2">
      <c r="A61" s="4" t="s">
        <v>538</v>
      </c>
      <c r="B61" s="4" t="s">
        <v>228</v>
      </c>
      <c r="C61" s="40">
        <f t="shared" ref="C61:R61" si="18">(C21+C58)*C5</f>
        <v>0</v>
      </c>
      <c r="D61" s="40">
        <f t="shared" si="18"/>
        <v>14.763746091646457</v>
      </c>
      <c r="E61" s="40">
        <f t="shared" si="18"/>
        <v>14.255211944262069</v>
      </c>
      <c r="F61" s="40">
        <f t="shared" si="18"/>
        <v>13.98982843944307</v>
      </c>
      <c r="G61" s="40">
        <f t="shared" si="18"/>
        <v>13.844200995753596</v>
      </c>
      <c r="H61" s="40">
        <f t="shared" si="18"/>
        <v>13.571624915971888</v>
      </c>
      <c r="I61" s="40">
        <f t="shared" si="18"/>
        <v>13.106723676903497</v>
      </c>
      <c r="J61" s="40">
        <f t="shared" si="18"/>
        <v>12.48922941214855</v>
      </c>
      <c r="K61" s="40">
        <f t="shared" si="18"/>
        <v>12.266261482305381</v>
      </c>
      <c r="L61" s="40">
        <f t="shared" si="18"/>
        <v>12.155598214889661</v>
      </c>
      <c r="M61" s="40">
        <f t="shared" si="18"/>
        <v>12.040125035896502</v>
      </c>
      <c r="N61" s="40">
        <f t="shared" si="18"/>
        <v>11.861200859860826</v>
      </c>
      <c r="O61" s="40">
        <f t="shared" si="18"/>
        <v>11.560177710076646</v>
      </c>
      <c r="P61" s="40">
        <f t="shared" si="18"/>
        <v>9.8266506779283791</v>
      </c>
      <c r="Q61" s="40">
        <f t="shared" si="18"/>
        <v>8.9183699897278501</v>
      </c>
      <c r="R61" s="40">
        <f t="shared" si="18"/>
        <v>8.6798623447550778</v>
      </c>
    </row>
    <row r="62" spans="1:18" x14ac:dyDescent="0.2">
      <c r="A62" s="4" t="s">
        <v>539</v>
      </c>
      <c r="B62" s="4" t="s">
        <v>94</v>
      </c>
      <c r="C62" s="44" t="str">
        <f t="shared" ref="C62:R62" si="19">IF(C6=1,C61/-C50,"")</f>
        <v/>
      </c>
      <c r="D62" s="44">
        <f t="shared" si="19"/>
        <v>2.4108431412274798</v>
      </c>
      <c r="E62" s="44">
        <f t="shared" si="19"/>
        <v>2.3278021532769149</v>
      </c>
      <c r="F62" s="44">
        <f t="shared" si="19"/>
        <v>2.2844664037715909</v>
      </c>
      <c r="G62" s="44">
        <f t="shared" si="19"/>
        <v>2.2606861977443478</v>
      </c>
      <c r="H62" s="44">
        <f t="shared" si="19"/>
        <v>2.2161759380632886</v>
      </c>
      <c r="I62" s="44">
        <f t="shared" si="19"/>
        <v>2.1402599776695812</v>
      </c>
      <c r="J62" s="44">
        <f t="shared" si="19"/>
        <v>2.0394263678465236</v>
      </c>
      <c r="K62" s="44">
        <f t="shared" si="19"/>
        <v>2.0030168616792343</v>
      </c>
      <c r="L62" s="44">
        <f t="shared" si="19"/>
        <v>1.9849461242404507</v>
      </c>
      <c r="M62" s="44">
        <f t="shared" si="19"/>
        <v>1.9660899531952911</v>
      </c>
      <c r="N62" s="44">
        <f t="shared" si="19"/>
        <v>1.9368725635221204</v>
      </c>
      <c r="O62" s="44">
        <f t="shared" si="19"/>
        <v>1.8877170448954146</v>
      </c>
      <c r="P62" s="44">
        <f t="shared" si="19"/>
        <v>1.6046410742275252</v>
      </c>
      <c r="Q62" s="44">
        <f t="shared" si="19"/>
        <v>1.4563235500798704</v>
      </c>
      <c r="R62" s="44">
        <f t="shared" si="19"/>
        <v>1.417376489053247</v>
      </c>
    </row>
    <row r="63" spans="1:18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spans="1:18" x14ac:dyDescent="0.2">
      <c r="A64" s="49" t="s">
        <v>540</v>
      </c>
      <c r="B64" s="50" t="s">
        <v>228</v>
      </c>
      <c r="C64" s="39">
        <f>C23+C46</f>
        <v>-79.410024633819461</v>
      </c>
      <c r="D64" s="39">
        <f t="shared" ref="D64:R64" si="20">D61+D50+D24</f>
        <v>45.121045465182036</v>
      </c>
      <c r="E64" s="39">
        <f t="shared" si="20"/>
        <v>8.1313186725789102</v>
      </c>
      <c r="F64" s="39">
        <f t="shared" si="20"/>
        <v>7.8659351677599103</v>
      </c>
      <c r="G64" s="39">
        <f t="shared" si="20"/>
        <v>7.7203077240704365</v>
      </c>
      <c r="H64" s="39">
        <f t="shared" si="20"/>
        <v>7.4477316442887291</v>
      </c>
      <c r="I64" s="39">
        <f t="shared" si="20"/>
        <v>6.982830405220338</v>
      </c>
      <c r="J64" s="39">
        <f t="shared" si="20"/>
        <v>6.3653361404653905</v>
      </c>
      <c r="K64" s="39">
        <f t="shared" si="20"/>
        <v>6.1423682106222222</v>
      </c>
      <c r="L64" s="39">
        <f t="shared" si="20"/>
        <v>6.0317049432065017</v>
      </c>
      <c r="M64" s="39">
        <f t="shared" si="20"/>
        <v>5.9162317642133422</v>
      </c>
      <c r="N64" s="39">
        <f t="shared" si="20"/>
        <v>5.737307588177667</v>
      </c>
      <c r="O64" s="39">
        <f t="shared" si="20"/>
        <v>5.4362844383934865</v>
      </c>
      <c r="P64" s="39">
        <f t="shared" si="20"/>
        <v>3.7027574062452198</v>
      </c>
      <c r="Q64" s="39">
        <f t="shared" si="20"/>
        <v>2.7944767180446908</v>
      </c>
      <c r="R64" s="39">
        <f t="shared" si="20"/>
        <v>2.5559690730719185</v>
      </c>
    </row>
    <row r="65" spans="1:18" x14ac:dyDescent="0.2">
      <c r="A65" s="80" t="s">
        <v>281</v>
      </c>
      <c r="B65" s="80" t="s">
        <v>228</v>
      </c>
      <c r="C65" s="84">
        <f>C64</f>
        <v>-79.410024633819461</v>
      </c>
      <c r="D65" s="84">
        <f t="shared" ref="D65:R65" si="21">C65+D64</f>
        <v>-34.288979168637425</v>
      </c>
      <c r="E65" s="84">
        <f t="shared" si="21"/>
        <v>-26.157660496058515</v>
      </c>
      <c r="F65" s="84">
        <f t="shared" si="21"/>
        <v>-18.291725328298604</v>
      </c>
      <c r="G65" s="84">
        <f t="shared" si="21"/>
        <v>-10.571417604228166</v>
      </c>
      <c r="H65" s="84">
        <f t="shared" si="21"/>
        <v>-3.1236859599394373</v>
      </c>
      <c r="I65" s="84">
        <f t="shared" si="21"/>
        <v>3.8591444452809007</v>
      </c>
      <c r="J65" s="84">
        <f t="shared" si="21"/>
        <v>10.224480585746292</v>
      </c>
      <c r="K65" s="84">
        <f t="shared" si="21"/>
        <v>16.366848796368515</v>
      </c>
      <c r="L65" s="84">
        <f t="shared" si="21"/>
        <v>22.398553739575018</v>
      </c>
      <c r="M65" s="84">
        <f t="shared" si="21"/>
        <v>28.314785503788361</v>
      </c>
      <c r="N65" s="84">
        <f t="shared" si="21"/>
        <v>34.052093091966029</v>
      </c>
      <c r="O65" s="84">
        <f t="shared" si="21"/>
        <v>39.488377530359514</v>
      </c>
      <c r="P65" s="84">
        <f t="shared" si="21"/>
        <v>43.191134936604733</v>
      </c>
      <c r="Q65" s="84">
        <f t="shared" si="21"/>
        <v>45.985611654649425</v>
      </c>
      <c r="R65" s="84">
        <f t="shared" si="21"/>
        <v>48.541580727721346</v>
      </c>
    </row>
    <row r="66" spans="1:18" x14ac:dyDescent="0.2">
      <c r="A66" s="80" t="s">
        <v>282</v>
      </c>
      <c r="B66" s="80" t="s">
        <v>228</v>
      </c>
      <c r="C66" s="84">
        <f>C36</f>
        <v>-135.11552831562497</v>
      </c>
      <c r="D66" s="84">
        <f t="shared" ref="D66:R66" si="22">C66+D36</f>
        <v>-83.870589578759777</v>
      </c>
      <c r="E66" s="84">
        <f t="shared" si="22"/>
        <v>-69.615377634497705</v>
      </c>
      <c r="F66" s="84">
        <f t="shared" si="22"/>
        <v>-55.625549195054631</v>
      </c>
      <c r="G66" s="84">
        <f t="shared" si="22"/>
        <v>-41.812940881380783</v>
      </c>
      <c r="H66" s="84">
        <f t="shared" si="22"/>
        <v>-28.258876430901481</v>
      </c>
      <c r="I66" s="84">
        <f t="shared" si="22"/>
        <v>-15.307448831369069</v>
      </c>
      <c r="J66" s="84">
        <f t="shared" si="22"/>
        <v>-2.9622861678240913</v>
      </c>
      <c r="K66" s="84">
        <f t="shared" si="22"/>
        <v>9.1719261935247101</v>
      </c>
      <c r="L66" s="84">
        <f t="shared" si="22"/>
        <v>21.208336552565601</v>
      </c>
      <c r="M66" s="84">
        <f t="shared" si="22"/>
        <v>31.030085048552749</v>
      </c>
      <c r="N66" s="84">
        <f t="shared" si="22"/>
        <v>40.245261183620855</v>
      </c>
      <c r="O66" s="84">
        <f t="shared" si="22"/>
        <v>49.237107163962975</v>
      </c>
      <c r="P66" s="84">
        <f t="shared" si="22"/>
        <v>58.093897431472712</v>
      </c>
      <c r="Q66" s="84">
        <f t="shared" si="22"/>
        <v>66.812255593329255</v>
      </c>
      <c r="R66" s="84">
        <f t="shared" si="22"/>
        <v>75.388720846891275</v>
      </c>
    </row>
  </sheetData>
  <mergeCells count="2">
    <mergeCell ref="C1:R2"/>
    <mergeCell ref="A1:B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1"/>
  <sheetViews>
    <sheetView zoomScale="91" workbookViewId="0">
      <selection activeCell="H65" sqref="H65"/>
    </sheetView>
  </sheetViews>
  <sheetFormatPr baseColWidth="10" defaultColWidth="8.83203125" defaultRowHeight="15" x14ac:dyDescent="0.2"/>
  <cols>
    <col min="1" max="1" width="58" style="16" customWidth="1"/>
    <col min="2" max="2" width="15" style="16" customWidth="1"/>
    <col min="3" max="3" width="14" style="16" customWidth="1"/>
    <col min="4" max="6" width="8.83203125" style="16" customWidth="1"/>
    <col min="7" max="16384" width="8.83203125" style="16"/>
  </cols>
  <sheetData>
    <row r="1" spans="1:3" ht="16" customHeight="1" x14ac:dyDescent="0.2">
      <c r="A1" s="117" t="s">
        <v>283</v>
      </c>
      <c r="B1" s="116"/>
      <c r="C1" s="116"/>
    </row>
    <row r="2" spans="1:3" x14ac:dyDescent="0.2">
      <c r="A2" s="116"/>
      <c r="B2" s="116"/>
      <c r="C2" s="116"/>
    </row>
    <row r="3" spans="1:3" x14ac:dyDescent="0.2">
      <c r="A3" s="120" t="s">
        <v>284</v>
      </c>
      <c r="B3" s="116"/>
      <c r="C3" s="116"/>
    </row>
    <row r="4" spans="1:3" x14ac:dyDescent="0.2">
      <c r="A4" s="4" t="s">
        <v>206</v>
      </c>
      <c r="B4" s="19">
        <f>Technical!$B$30</f>
        <v>50</v>
      </c>
      <c r="C4" s="4" t="s">
        <v>29</v>
      </c>
    </row>
    <row r="5" spans="1:3" x14ac:dyDescent="0.2">
      <c r="A5" s="4" t="s">
        <v>285</v>
      </c>
      <c r="B5" s="19">
        <f>Technical!$B$31</f>
        <v>500</v>
      </c>
      <c r="C5" s="4" t="s">
        <v>208</v>
      </c>
    </row>
    <row r="6" spans="1:3" x14ac:dyDescent="0.2">
      <c r="A6" s="4" t="s">
        <v>286</v>
      </c>
      <c r="B6" s="22">
        <f>Technical!$B$9</f>
        <v>45</v>
      </c>
      <c r="C6" s="4" t="s">
        <v>182</v>
      </c>
    </row>
    <row r="7" spans="1:3" ht="42" customHeight="1" x14ac:dyDescent="0.2">
      <c r="A7" s="4" t="s">
        <v>186</v>
      </c>
      <c r="B7" s="24">
        <f>Technical!$B$10</f>
        <v>0.97487001733102241</v>
      </c>
      <c r="C7" s="4" t="s">
        <v>33</v>
      </c>
    </row>
    <row r="8" spans="1:3" x14ac:dyDescent="0.2">
      <c r="A8" s="120" t="s">
        <v>287</v>
      </c>
      <c r="B8" s="116"/>
      <c r="C8" s="116"/>
    </row>
    <row r="9" spans="1:3" ht="42" customHeight="1" x14ac:dyDescent="0.2">
      <c r="A9" s="1" t="s">
        <v>288</v>
      </c>
      <c r="B9" s="39">
        <f>Inputs!$C$30</f>
        <v>27.653459170323316</v>
      </c>
      <c r="C9" s="4" t="s">
        <v>58</v>
      </c>
    </row>
    <row r="10" spans="1:3" x14ac:dyDescent="0.2">
      <c r="A10" s="4" t="s">
        <v>289</v>
      </c>
      <c r="B10" s="40">
        <f>Costs!$B$9</f>
        <v>135.11552831562497</v>
      </c>
      <c r="C10" s="4" t="s">
        <v>228</v>
      </c>
    </row>
    <row r="11" spans="1:3" x14ac:dyDescent="0.2">
      <c r="A11" s="4" t="s">
        <v>290</v>
      </c>
      <c r="B11" s="40">
        <f>Costs!$B$12</f>
        <v>36.481192645218741</v>
      </c>
      <c r="C11" s="4" t="s">
        <v>228</v>
      </c>
    </row>
    <row r="12" spans="1:3" x14ac:dyDescent="0.2">
      <c r="A12" s="4" t="s">
        <v>291</v>
      </c>
      <c r="B12" s="40">
        <f>-CashFlow!$D$20</f>
        <v>7.3771871605475345</v>
      </c>
      <c r="C12" s="4" t="s">
        <v>228</v>
      </c>
    </row>
    <row r="13" spans="1:3" x14ac:dyDescent="0.2">
      <c r="A13" s="4" t="s">
        <v>292</v>
      </c>
      <c r="B13" s="40">
        <f>CashFlow!$D$10</f>
        <v>16.592075502193993</v>
      </c>
      <c r="C13" s="4" t="s">
        <v>228</v>
      </c>
    </row>
    <row r="14" spans="1:3" ht="28" customHeight="1" x14ac:dyDescent="0.2">
      <c r="A14" s="4" t="s">
        <v>293</v>
      </c>
      <c r="B14" s="40">
        <f>CashFlow!$D$11</f>
        <v>5.5488577499999989</v>
      </c>
      <c r="C14" s="4" t="s">
        <v>228</v>
      </c>
    </row>
    <row r="15" spans="1:3" x14ac:dyDescent="0.2">
      <c r="A15" s="4" t="s">
        <v>294</v>
      </c>
      <c r="B15" s="40">
        <f>CashFlow!$D$12</f>
        <v>22.140933252193992</v>
      </c>
      <c r="C15" s="4" t="s">
        <v>228</v>
      </c>
    </row>
    <row r="16" spans="1:3" x14ac:dyDescent="0.2">
      <c r="A16" s="4" t="s">
        <v>295</v>
      </c>
      <c r="B16" s="24">
        <f>Costs!$B$24</f>
        <v>0.25061535061762363</v>
      </c>
      <c r="C16" s="4" t="s">
        <v>33</v>
      </c>
    </row>
    <row r="17" spans="1:3" x14ac:dyDescent="0.2">
      <c r="A17" s="4" t="s">
        <v>296</v>
      </c>
      <c r="B17" s="41">
        <f>Costs!$B$26</f>
        <v>7.0200000000000012E-2</v>
      </c>
      <c r="C17" s="4" t="s">
        <v>33</v>
      </c>
    </row>
    <row r="18" spans="1:3" x14ac:dyDescent="0.2">
      <c r="A18" s="4" t="s">
        <v>274</v>
      </c>
      <c r="B18" s="40">
        <f>CashFlow!$C$42</f>
        <v>8.5764652535620165</v>
      </c>
      <c r="C18" s="4" t="s">
        <v>228</v>
      </c>
    </row>
    <row r="19" spans="1:3" x14ac:dyDescent="0.2">
      <c r="A19" s="4" t="s">
        <v>297</v>
      </c>
      <c r="B19" s="40">
        <f>CashFlow!$C$44</f>
        <v>55.705503681805503</v>
      </c>
      <c r="C19" s="4" t="s">
        <v>228</v>
      </c>
    </row>
    <row r="20" spans="1:3" x14ac:dyDescent="0.2">
      <c r="A20" s="4" t="s">
        <v>298</v>
      </c>
      <c r="B20" s="24">
        <f>$B$19/$B$10</f>
        <v>0.41228054522111973</v>
      </c>
      <c r="C20" s="4" t="s">
        <v>33</v>
      </c>
    </row>
    <row r="21" spans="1:3" x14ac:dyDescent="0.2">
      <c r="A21" s="4" t="s">
        <v>502</v>
      </c>
      <c r="B21" s="40">
        <f>$B$10-$B$19</f>
        <v>79.410024633819461</v>
      </c>
      <c r="C21" s="4" t="s">
        <v>228</v>
      </c>
    </row>
    <row r="22" spans="1:3" x14ac:dyDescent="0.2">
      <c r="A22" s="120" t="s">
        <v>299</v>
      </c>
      <c r="B22" s="116"/>
      <c r="C22" s="116"/>
    </row>
    <row r="23" spans="1:3" ht="28" customHeight="1" x14ac:dyDescent="0.2">
      <c r="A23" s="1" t="s">
        <v>300</v>
      </c>
      <c r="B23" s="39">
        <f>CashFlow!$C$64+NPV(Inputs!$C$57,CashFlow!$D$64:$R$64)</f>
        <v>-3.6346341261150883E-6</v>
      </c>
      <c r="C23" s="4" t="s">
        <v>228</v>
      </c>
    </row>
    <row r="24" spans="1:3" x14ac:dyDescent="0.2">
      <c r="A24" s="1" t="s">
        <v>301</v>
      </c>
      <c r="B24" s="42">
        <f>IRR(CashFlow!$C$64:$R$64)</f>
        <v>0.11999998501095654</v>
      </c>
      <c r="C24" s="4" t="s">
        <v>33</v>
      </c>
    </row>
    <row r="25" spans="1:3" x14ac:dyDescent="0.2">
      <c r="A25" s="1" t="s">
        <v>302</v>
      </c>
      <c r="B25" s="42">
        <f>IRR(CashFlow!$C$36:$R$36)</f>
        <v>8.6760085319832037E-2</v>
      </c>
      <c r="C25" s="4" t="s">
        <v>33</v>
      </c>
    </row>
    <row r="26" spans="1:3" x14ac:dyDescent="0.2">
      <c r="A26" s="1" t="s">
        <v>303</v>
      </c>
      <c r="B26" s="43">
        <f>MIN(CashFlow!$C$62:$R$62)</f>
        <v>1.417376489053247</v>
      </c>
      <c r="C26" s="4" t="s">
        <v>94</v>
      </c>
    </row>
    <row r="27" spans="1:3" x14ac:dyDescent="0.2">
      <c r="A27" s="4" t="s">
        <v>304</v>
      </c>
      <c r="B27" s="44">
        <f>CashFlow!$C$40</f>
        <v>1.4004922804940989</v>
      </c>
      <c r="C27" s="4" t="s">
        <v>94</v>
      </c>
    </row>
    <row r="28" spans="1:3" x14ac:dyDescent="0.2">
      <c r="A28" s="120" t="s">
        <v>305</v>
      </c>
      <c r="B28" s="116"/>
      <c r="C28" s="116"/>
    </row>
    <row r="29" spans="1:3" x14ac:dyDescent="0.2">
      <c r="A29" s="4" t="s">
        <v>503</v>
      </c>
      <c r="B29" s="22">
        <f>Technical!$B$16</f>
        <v>32.467532467532465</v>
      </c>
      <c r="C29" s="4" t="s">
        <v>192</v>
      </c>
    </row>
    <row r="30" spans="1:3" ht="28" customHeight="1" x14ac:dyDescent="0.2">
      <c r="A30" s="4" t="s">
        <v>306</v>
      </c>
      <c r="B30" s="40">
        <f>Technical!$B$16*1000*Inputs!$C$35*12/10^6</f>
        <v>62.337662337662337</v>
      </c>
      <c r="C30" s="4" t="s">
        <v>224</v>
      </c>
    </row>
    <row r="31" spans="1:3" ht="28" customHeight="1" x14ac:dyDescent="0.2">
      <c r="A31" s="1" t="s">
        <v>307</v>
      </c>
      <c r="B31" s="21">
        <f>$B$13/$B$30</f>
        <v>0.26616454451436194</v>
      </c>
      <c r="C31" s="4" t="s">
        <v>33</v>
      </c>
    </row>
    <row r="32" spans="1:3" x14ac:dyDescent="0.2">
      <c r="A32" s="17"/>
      <c r="B32" s="17"/>
      <c r="C32" s="17"/>
    </row>
    <row r="33" spans="1:3" x14ac:dyDescent="0.2">
      <c r="A33" s="120" t="s">
        <v>308</v>
      </c>
      <c r="B33" s="116"/>
      <c r="C33" s="116"/>
    </row>
    <row r="34" spans="1:3" ht="28" customHeight="1" x14ac:dyDescent="0.2">
      <c r="A34" s="4" t="s">
        <v>309</v>
      </c>
      <c r="B34" s="19">
        <f>Technical!$B$27</f>
        <v>10</v>
      </c>
      <c r="C34" s="4" t="s">
        <v>99</v>
      </c>
    </row>
    <row r="35" spans="1:3" x14ac:dyDescent="0.2">
      <c r="A35" s="4" t="s">
        <v>310</v>
      </c>
      <c r="B35" s="25">
        <f>Technical!$B$28</f>
        <v>15</v>
      </c>
      <c r="C35" s="4" t="s">
        <v>195</v>
      </c>
    </row>
    <row r="36" spans="1:3" ht="28" customHeight="1" x14ac:dyDescent="0.2">
      <c r="A36" s="4" t="s">
        <v>223</v>
      </c>
      <c r="B36" s="57">
        <f>Costs!$B$20</f>
        <v>0.15734271405821329</v>
      </c>
      <c r="C36" s="4" t="s">
        <v>224</v>
      </c>
    </row>
    <row r="37" spans="1:3" x14ac:dyDescent="0.2">
      <c r="A37" s="17"/>
      <c r="B37" s="17"/>
      <c r="C37" s="17"/>
    </row>
    <row r="38" spans="1:3" x14ac:dyDescent="0.2">
      <c r="A38" s="120" t="s">
        <v>556</v>
      </c>
      <c r="B38" s="116"/>
      <c r="C38" s="116"/>
    </row>
    <row r="39" spans="1:3" x14ac:dyDescent="0.2">
      <c r="A39" s="4" t="s">
        <v>557</v>
      </c>
      <c r="B39" s="57">
        <f>$B$23</f>
        <v>-3.6346341261150883E-6</v>
      </c>
      <c r="C39" s="4" t="str">
        <f>IF(ABS(B39)&lt;0.001,"OK","Re-run Goal Seek")</f>
        <v>OK</v>
      </c>
    </row>
    <row r="40" spans="1:3" x14ac:dyDescent="0.2">
      <c r="A40" s="4" t="s">
        <v>558</v>
      </c>
      <c r="B40" s="57">
        <f>CashFlow!$R$49</f>
        <v>2.7533531010703882E-14</v>
      </c>
      <c r="C40" s="4" t="str">
        <f>IF(ABS(B40)&lt;0.001,"OK","Debt not repaid")</f>
        <v>OK</v>
      </c>
    </row>
    <row r="41" spans="1:3" x14ac:dyDescent="0.2">
      <c r="A41" s="4" t="s">
        <v>559</v>
      </c>
      <c r="B41" s="57">
        <f>$B$26-$B$27</f>
        <v>1.6884208559148073E-2</v>
      </c>
      <c r="C41" s="4" t="str">
        <f>IF(B41&gt;=0,"OK","Below target")</f>
        <v>OK</v>
      </c>
    </row>
    <row r="42" spans="1:3" x14ac:dyDescent="0.2">
      <c r="A42" s="17"/>
      <c r="B42" s="17"/>
      <c r="C42" s="17"/>
    </row>
    <row r="43" spans="1:3" x14ac:dyDescent="0.2">
      <c r="A43" s="120" t="s">
        <v>311</v>
      </c>
      <c r="B43" s="116"/>
      <c r="C43" s="116"/>
    </row>
    <row r="44" spans="1:3" x14ac:dyDescent="0.2">
      <c r="A44" s="4" t="s">
        <v>312</v>
      </c>
      <c r="B44" s="40">
        <f>AVERAGE(CashFlow!$D$62:$R$62)</f>
        <v>1.9957762560328585</v>
      </c>
      <c r="C44" s="4" t="s">
        <v>94</v>
      </c>
    </row>
    <row r="45" spans="1:3" x14ac:dyDescent="0.2">
      <c r="A45" s="4" t="s">
        <v>313</v>
      </c>
      <c r="B45" s="58">
        <f>MATCH(TRUE,INDEX(CashFlow!$D$65:$R$65&gt;=0,0),0)</f>
        <v>6</v>
      </c>
      <c r="C45" s="4" t="s">
        <v>18</v>
      </c>
    </row>
    <row r="46" spans="1:3" x14ac:dyDescent="0.2">
      <c r="A46" s="4" t="s">
        <v>314</v>
      </c>
      <c r="B46" s="40" t="str">
        <f>INDEX(CashFlow!$D$4:$R$4,B45)</f>
        <v>2034/35</v>
      </c>
      <c r="C46" s="4"/>
    </row>
    <row r="47" spans="1:3" x14ac:dyDescent="0.2">
      <c r="A47" s="4" t="s">
        <v>315</v>
      </c>
      <c r="B47" s="58">
        <f>MATCH(TRUE,INDEX(CashFlow!$D$66:$R$66&gt;=0,0),0)</f>
        <v>8</v>
      </c>
      <c r="C47" s="4" t="s">
        <v>18</v>
      </c>
    </row>
    <row r="48" spans="1:3" x14ac:dyDescent="0.2">
      <c r="A48" s="4" t="s">
        <v>316</v>
      </c>
      <c r="B48" s="40" t="str">
        <f>INDEX(CashFlow!$D$4:$R$4,B47)</f>
        <v>2036/37</v>
      </c>
      <c r="C48" s="4"/>
    </row>
    <row r="49" spans="1:3" x14ac:dyDescent="0.2">
      <c r="A49" s="4" t="s">
        <v>317</v>
      </c>
      <c r="B49" s="58">
        <f>MATCH(TRUE,INDEX(CashFlow!$D$58:$R$58&lt;0,0),0)</f>
        <v>6</v>
      </c>
      <c r="C49" s="4" t="s">
        <v>18</v>
      </c>
    </row>
    <row r="50" spans="1:3" x14ac:dyDescent="0.2">
      <c r="A50" s="4" t="s">
        <v>318</v>
      </c>
      <c r="B50" s="40" t="str">
        <f>INDEX(CashFlow!$D$4:$R$4,B49)</f>
        <v>2034/35</v>
      </c>
      <c r="C50" s="4"/>
    </row>
    <row r="51" spans="1:3" x14ac:dyDescent="0.2">
      <c r="A51" s="4" t="s">
        <v>319</v>
      </c>
      <c r="B51" s="40">
        <f>CashFlow!$C$36+NPV(Costs!$B$26,CashFlow!$D$36:$R$36)</f>
        <v>10.172972418989474</v>
      </c>
      <c r="C51" s="4" t="s">
        <v>228</v>
      </c>
    </row>
    <row r="52" spans="1:3" x14ac:dyDescent="0.2">
      <c r="A52" s="4" t="s">
        <v>320</v>
      </c>
      <c r="B52" s="19">
        <f>Customer!$B$17</f>
        <v>1010.1720244866967</v>
      </c>
      <c r="C52" s="4" t="s">
        <v>103</v>
      </c>
    </row>
    <row r="53" spans="1:3" x14ac:dyDescent="0.2">
      <c r="A53" s="4" t="s">
        <v>321</v>
      </c>
      <c r="B53" s="66">
        <f>CashFlow!$D$21/CashFlow!$D$12</f>
        <v>0.66680775934246073</v>
      </c>
      <c r="C53" s="4" t="s">
        <v>33</v>
      </c>
    </row>
    <row r="54" spans="1:3" x14ac:dyDescent="0.2">
      <c r="A54" s="4" t="s">
        <v>322</v>
      </c>
      <c r="B54" s="66">
        <f>CashFlow!$R$21/CashFlow!$R$12</f>
        <v>0.5443614349210073</v>
      </c>
      <c r="C54" s="4" t="s">
        <v>33</v>
      </c>
    </row>
    <row r="55" spans="1:3" x14ac:dyDescent="0.2">
      <c r="A55" s="4" t="s">
        <v>323</v>
      </c>
      <c r="B55" s="40">
        <f>CashFlow!$D$62</f>
        <v>2.4108431412274798</v>
      </c>
      <c r="C55" s="4" t="s">
        <v>94</v>
      </c>
    </row>
    <row r="56" spans="1:3" x14ac:dyDescent="0.2">
      <c r="A56" s="4" t="s">
        <v>324</v>
      </c>
      <c r="B56" s="40">
        <f>CashFlow!$R$62</f>
        <v>1.417376489053247</v>
      </c>
      <c r="C56" s="4" t="s">
        <v>94</v>
      </c>
    </row>
    <row r="57" spans="1:3" x14ac:dyDescent="0.2">
      <c r="A57" s="4" t="s">
        <v>325</v>
      </c>
      <c r="B57" s="40">
        <f>CashFlow!$C$43</f>
        <v>6.1238932716831593</v>
      </c>
      <c r="C57" s="4" t="s">
        <v>224</v>
      </c>
    </row>
    <row r="58" spans="1:3" x14ac:dyDescent="0.2">
      <c r="A58" s="17"/>
      <c r="B58" s="17"/>
      <c r="C58" s="17"/>
    </row>
    <row r="59" spans="1:3" x14ac:dyDescent="0.2">
      <c r="A59" s="120" t="s">
        <v>326</v>
      </c>
      <c r="B59" s="116"/>
      <c r="C59" s="116"/>
    </row>
    <row r="60" spans="1:3" x14ac:dyDescent="0.2">
      <c r="A60" s="4" t="s">
        <v>327</v>
      </c>
      <c r="B60" s="40">
        <f>SUM(CashFlow!$D$10:$R$10)</f>
        <v>248.88113253290999</v>
      </c>
      <c r="C60" s="4" t="s">
        <v>228</v>
      </c>
    </row>
    <row r="61" spans="1:3" x14ac:dyDescent="0.2">
      <c r="A61" s="4" t="s">
        <v>328</v>
      </c>
      <c r="B61" s="40">
        <f>SUM(CashFlow!$D$11:$R$11)</f>
        <v>72.566728574999999</v>
      </c>
      <c r="C61" s="4" t="s">
        <v>228</v>
      </c>
    </row>
    <row r="62" spans="1:3" x14ac:dyDescent="0.2">
      <c r="A62" s="4" t="s">
        <v>329</v>
      </c>
      <c r="B62" s="40">
        <f>SUM(CashFlow!$D$12:$R$12)</f>
        <v>321.44786110790994</v>
      </c>
      <c r="C62" s="4" t="s">
        <v>228</v>
      </c>
    </row>
    <row r="63" spans="1:3" x14ac:dyDescent="0.2">
      <c r="A63" s="4" t="s">
        <v>259</v>
      </c>
      <c r="B63" s="40">
        <f>-SUM(CashFlow!$D$20:$R$20)</f>
        <v>126.91361645786692</v>
      </c>
      <c r="C63" s="4" t="s">
        <v>228</v>
      </c>
    </row>
    <row r="64" spans="1:3" x14ac:dyDescent="0.2">
      <c r="A64" s="4" t="s">
        <v>330</v>
      </c>
      <c r="B64" s="40">
        <f>-SUM(CashFlow!$D$58:$R$58)</f>
        <v>11.205432858473522</v>
      </c>
      <c r="C64" s="4" t="s">
        <v>228</v>
      </c>
    </row>
    <row r="65" spans="1:3" x14ac:dyDescent="0.2">
      <c r="A65" s="4" t="s">
        <v>331</v>
      </c>
      <c r="B65" s="40">
        <f>-SUM(CashFlow!$D$50:$R$50)</f>
        <v>91.858399075247391</v>
      </c>
      <c r="C65" s="4" t="s">
        <v>228</v>
      </c>
    </row>
    <row r="66" spans="1:3" x14ac:dyDescent="0.2">
      <c r="A66" s="4" t="s">
        <v>332</v>
      </c>
      <c r="B66" s="40">
        <f>SUM(CashFlow!$D$64:$R$64)-Costs!$B$12</f>
        <v>91.470412716322059</v>
      </c>
      <c r="C66" s="4" t="s">
        <v>228</v>
      </c>
    </row>
    <row r="67" spans="1:3" x14ac:dyDescent="0.2">
      <c r="A67" s="4" t="s">
        <v>333</v>
      </c>
      <c r="B67" s="40">
        <f>Costs!$B$12</f>
        <v>36.481192645218741</v>
      </c>
      <c r="C67" s="4" t="s">
        <v>228</v>
      </c>
    </row>
    <row r="68" spans="1:3" x14ac:dyDescent="0.2">
      <c r="A68" s="4" t="s">
        <v>334</v>
      </c>
      <c r="B68" s="66">
        <f>B63/B62</f>
        <v>0.39481866832289192</v>
      </c>
      <c r="C68" s="4" t="s">
        <v>33</v>
      </c>
    </row>
    <row r="69" spans="1:3" x14ac:dyDescent="0.2">
      <c r="A69" s="4" t="s">
        <v>335</v>
      </c>
      <c r="B69" s="66">
        <f>B65/B62</f>
        <v>0.28576453661457263</v>
      </c>
      <c r="C69" s="4" t="s">
        <v>33</v>
      </c>
    </row>
    <row r="70" spans="1:3" x14ac:dyDescent="0.2">
      <c r="A70" s="4" t="s">
        <v>336</v>
      </c>
      <c r="B70" s="66">
        <f>B64/B62</f>
        <v>3.4859254685511383E-2</v>
      </c>
      <c r="C70" s="4" t="s">
        <v>33</v>
      </c>
    </row>
    <row r="71" spans="1:3" x14ac:dyDescent="0.2">
      <c r="A71" s="4" t="s">
        <v>337</v>
      </c>
      <c r="B71" s="66">
        <f>B66/B62</f>
        <v>0.28455754037702391</v>
      </c>
      <c r="C71" s="4" t="s">
        <v>33</v>
      </c>
    </row>
  </sheetData>
  <mergeCells count="9">
    <mergeCell ref="A1:C2"/>
    <mergeCell ref="A8:C8"/>
    <mergeCell ref="A22:C22"/>
    <mergeCell ref="A3:C3"/>
    <mergeCell ref="A59:C59"/>
    <mergeCell ref="A38:C38"/>
    <mergeCell ref="A43:C43"/>
    <mergeCell ref="A33:C33"/>
    <mergeCell ref="A28:C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Z80"/>
  <sheetViews>
    <sheetView topLeftCell="A47" workbookViewId="0">
      <selection activeCell="B62" sqref="A61:E68"/>
    </sheetView>
  </sheetViews>
  <sheetFormatPr baseColWidth="10" defaultColWidth="8.83203125" defaultRowHeight="15" outlineLevelCol="1" x14ac:dyDescent="0.2"/>
  <cols>
    <col min="1" max="1" width="59.6640625" style="16" customWidth="1"/>
    <col min="2" max="2" width="25.5" style="16" customWidth="1"/>
    <col min="3" max="7" width="13" style="16" customWidth="1"/>
    <col min="8" max="129" width="10" style="16" hidden="1" customWidth="1" outlineLevel="1"/>
    <col min="130" max="130" width="8.83203125" style="16" collapsed="1"/>
    <col min="131" max="16384" width="8.83203125" style="16"/>
  </cols>
  <sheetData>
    <row r="1" spans="1:129" x14ac:dyDescent="0.2">
      <c r="A1" s="143" t="s">
        <v>504</v>
      </c>
      <c r="B1" s="144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</row>
    <row r="2" spans="1:129" x14ac:dyDescent="0.2">
      <c r="A2" s="145"/>
      <c r="B2" s="146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  <c r="DS2" s="69"/>
      <c r="DT2" s="69"/>
      <c r="DU2" s="69"/>
      <c r="DV2" s="69"/>
      <c r="DW2" s="69"/>
      <c r="DX2" s="69"/>
      <c r="DY2" s="69"/>
    </row>
    <row r="3" spans="1:129" x14ac:dyDescent="0.2">
      <c r="A3" s="145"/>
      <c r="B3" s="146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</row>
    <row r="4" spans="1:129" x14ac:dyDescent="0.2">
      <c r="A4" s="147"/>
      <c r="B4" s="148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  <c r="CP4" s="69"/>
      <c r="CQ4" s="69"/>
      <c r="CR4" s="69"/>
      <c r="CS4" s="69"/>
      <c r="CT4" s="69"/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  <c r="DX4" s="69"/>
      <c r="DY4" s="69"/>
    </row>
    <row r="5" spans="1:129" x14ac:dyDescent="0.2">
      <c r="A5" s="95" t="s">
        <v>505</v>
      </c>
      <c r="B5" s="80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/>
      <c r="CA5" s="69"/>
      <c r="CB5" s="69"/>
      <c r="CC5" s="69"/>
      <c r="CD5" s="69"/>
      <c r="CE5" s="69"/>
      <c r="CF5" s="69"/>
      <c r="CG5" s="69"/>
      <c r="CH5" s="69"/>
      <c r="CI5" s="69"/>
      <c r="CJ5" s="69"/>
      <c r="CK5" s="69"/>
      <c r="CL5" s="69"/>
      <c r="CM5" s="69"/>
      <c r="CN5" s="69"/>
      <c r="CO5" s="69"/>
      <c r="CP5" s="69"/>
      <c r="CQ5" s="69"/>
      <c r="CR5" s="69"/>
      <c r="CS5" s="69"/>
      <c r="CT5" s="69"/>
      <c r="CU5" s="69"/>
      <c r="CV5" s="69"/>
      <c r="CW5" s="69"/>
      <c r="CX5" s="69"/>
      <c r="CY5" s="69"/>
      <c r="CZ5" s="69"/>
      <c r="DA5" s="69"/>
      <c r="DB5" s="69"/>
      <c r="DC5" s="69"/>
      <c r="DD5" s="69"/>
      <c r="DE5" s="69"/>
      <c r="DF5" s="69"/>
      <c r="DG5" s="69"/>
      <c r="DH5" s="69"/>
      <c r="DI5" s="69"/>
      <c r="DJ5" s="69"/>
      <c r="DK5" s="69"/>
      <c r="DL5" s="69"/>
      <c r="DM5" s="69"/>
      <c r="DN5" s="69"/>
      <c r="DO5" s="69"/>
      <c r="DP5" s="69"/>
      <c r="DQ5" s="69"/>
      <c r="DR5" s="69"/>
      <c r="DS5" s="69"/>
      <c r="DT5" s="69"/>
      <c r="DU5" s="69"/>
      <c r="DV5" s="69"/>
      <c r="DW5" s="69"/>
      <c r="DX5" s="69"/>
      <c r="DY5" s="69"/>
    </row>
    <row r="6" spans="1:129" x14ac:dyDescent="0.2">
      <c r="A6" s="80" t="s">
        <v>338</v>
      </c>
      <c r="B6" s="102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69"/>
      <c r="CX6" s="69"/>
      <c r="CY6" s="69"/>
      <c r="CZ6" s="69"/>
      <c r="DA6" s="69"/>
      <c r="DB6" s="69"/>
      <c r="DC6" s="69"/>
      <c r="DD6" s="69"/>
      <c r="DE6" s="69"/>
      <c r="DF6" s="69"/>
      <c r="DG6" s="69"/>
      <c r="DH6" s="69"/>
      <c r="DI6" s="69"/>
      <c r="DJ6" s="69"/>
      <c r="DK6" s="69"/>
      <c r="DL6" s="69"/>
      <c r="DM6" s="69"/>
      <c r="DN6" s="69"/>
      <c r="DO6" s="69"/>
      <c r="DP6" s="69"/>
      <c r="DQ6" s="69"/>
      <c r="DR6" s="69"/>
      <c r="DS6" s="69"/>
      <c r="DT6" s="69"/>
      <c r="DU6" s="69"/>
      <c r="DV6" s="69"/>
      <c r="DW6" s="69"/>
      <c r="DX6" s="69"/>
      <c r="DY6" s="69"/>
    </row>
    <row r="7" spans="1:129" x14ac:dyDescent="0.2">
      <c r="A7" s="80" t="s">
        <v>339</v>
      </c>
      <c r="B7" s="103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</row>
    <row r="8" spans="1:129" x14ac:dyDescent="0.2">
      <c r="A8" s="80" t="s">
        <v>340</v>
      </c>
      <c r="B8" s="104">
        <f>IF($B$16&lt;&gt;"",$B$16,IF($B$6="",Inputs!$C$82,INDEX($B$20:$B$32,$B$6)))</f>
        <v>0.88</v>
      </c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69"/>
      <c r="CV8" s="69"/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69"/>
      <c r="DT8" s="69"/>
      <c r="DU8" s="69"/>
      <c r="DV8" s="69"/>
      <c r="DW8" s="69"/>
      <c r="DX8" s="69"/>
      <c r="DY8" s="69"/>
    </row>
    <row r="9" spans="1:129" x14ac:dyDescent="0.2">
      <c r="A9" s="80" t="s">
        <v>341</v>
      </c>
      <c r="B9" s="84">
        <f>IF($B$6="",Inputs!$C$32,INDEX($C$20:$C$32,$B$6))</f>
        <v>337.83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69"/>
      <c r="CX9" s="69"/>
      <c r="CY9" s="69"/>
      <c r="CZ9" s="69"/>
      <c r="DA9" s="69"/>
      <c r="DB9" s="69"/>
      <c r="DC9" s="69"/>
      <c r="DD9" s="69"/>
      <c r="DE9" s="69"/>
      <c r="DF9" s="69"/>
      <c r="DG9" s="69"/>
      <c r="DH9" s="69"/>
      <c r="DI9" s="69"/>
      <c r="DJ9" s="69"/>
      <c r="DK9" s="69"/>
      <c r="DL9" s="69"/>
      <c r="DM9" s="69"/>
      <c r="DN9" s="69"/>
      <c r="DO9" s="69"/>
      <c r="DP9" s="69"/>
      <c r="DQ9" s="69"/>
      <c r="DR9" s="69"/>
      <c r="DS9" s="69"/>
      <c r="DT9" s="69"/>
      <c r="DU9" s="69"/>
      <c r="DV9" s="69"/>
      <c r="DW9" s="69"/>
      <c r="DX9" s="69"/>
      <c r="DY9" s="69"/>
    </row>
    <row r="10" spans="1:129" x14ac:dyDescent="0.2">
      <c r="A10" s="80" t="s">
        <v>342</v>
      </c>
      <c r="B10" s="105">
        <f>IF($B$6="",Inputs!$C$25,INDEX($D$20:$D$32,$B$6))</f>
        <v>0.04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CN10" s="69"/>
      <c r="CO10" s="69"/>
      <c r="CP10" s="69"/>
      <c r="CQ10" s="69"/>
      <c r="CR10" s="69"/>
      <c r="CS10" s="69"/>
      <c r="CT10" s="69"/>
      <c r="CU10" s="69"/>
      <c r="CV10" s="69"/>
      <c r="CW10" s="69"/>
      <c r="CX10" s="69"/>
      <c r="CY10" s="69"/>
      <c r="CZ10" s="69"/>
      <c r="DA10" s="69"/>
      <c r="DB10" s="69"/>
      <c r="DC10" s="69"/>
      <c r="DD10" s="69"/>
      <c r="DE10" s="69"/>
      <c r="DF10" s="69"/>
      <c r="DG10" s="69"/>
      <c r="DH10" s="69"/>
      <c r="DI10" s="69"/>
      <c r="DJ10" s="69"/>
      <c r="DK10" s="69"/>
      <c r="DL10" s="69"/>
      <c r="DM10" s="69"/>
      <c r="DN10" s="69"/>
      <c r="DO10" s="69"/>
      <c r="DP10" s="69"/>
      <c r="DQ10" s="69"/>
      <c r="DR10" s="69"/>
      <c r="DS10" s="69"/>
      <c r="DT10" s="69"/>
      <c r="DU10" s="69"/>
      <c r="DV10" s="69"/>
      <c r="DW10" s="69"/>
      <c r="DX10" s="69"/>
      <c r="DY10" s="69"/>
    </row>
    <row r="11" spans="1:129" x14ac:dyDescent="0.2">
      <c r="A11" s="80" t="s">
        <v>343</v>
      </c>
      <c r="B11" s="87">
        <f>IF($B$6="",Inputs!$C$59,INDEX($E$20:$E$32,$B$6))</f>
        <v>10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69"/>
      <c r="CV11" s="69"/>
      <c r="CW11" s="69"/>
      <c r="CX11" s="69"/>
      <c r="CY11" s="69"/>
      <c r="CZ11" s="69"/>
      <c r="DA11" s="69"/>
      <c r="DB11" s="69"/>
      <c r="DC11" s="69"/>
      <c r="DD11" s="69"/>
      <c r="DE11" s="69"/>
      <c r="DF11" s="69"/>
      <c r="DG11" s="69"/>
      <c r="DH11" s="69"/>
      <c r="DI11" s="69"/>
      <c r="DJ11" s="69"/>
      <c r="DK11" s="69"/>
      <c r="DL11" s="69"/>
      <c r="DM11" s="69"/>
      <c r="DN11" s="69"/>
      <c r="DO11" s="69"/>
      <c r="DP11" s="69"/>
      <c r="DQ11" s="69"/>
      <c r="DR11" s="69"/>
      <c r="DS11" s="69"/>
      <c r="DT11" s="69"/>
      <c r="DU11" s="69"/>
      <c r="DV11" s="69"/>
      <c r="DW11" s="69"/>
      <c r="DX11" s="69"/>
      <c r="DY11" s="69"/>
    </row>
    <row r="12" spans="1:129" x14ac:dyDescent="0.2">
      <c r="A12" s="80" t="s">
        <v>344</v>
      </c>
      <c r="B12" s="84">
        <f>IF($B$7="",Inputs!$C$30,$B$7)</f>
        <v>27.653459170323316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</row>
    <row r="13" spans="1:129" x14ac:dyDescent="0.2">
      <c r="A13" s="80" t="s">
        <v>345</v>
      </c>
      <c r="B13" s="106">
        <f>IF($B$6="",Inputs!$C$21,INDEX($F$20:$F$32,$B$6))</f>
        <v>0.3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9"/>
      <c r="DG13" s="69"/>
      <c r="DH13" s="69"/>
      <c r="DI13" s="69"/>
      <c r="DJ13" s="69"/>
      <c r="DK13" s="69"/>
      <c r="DL13" s="69"/>
      <c r="DM13" s="69"/>
      <c r="DN13" s="69"/>
      <c r="DO13" s="69"/>
      <c r="DP13" s="69"/>
      <c r="DQ13" s="69"/>
      <c r="DR13" s="69"/>
      <c r="DS13" s="69"/>
      <c r="DT13" s="69"/>
      <c r="DU13" s="69"/>
      <c r="DV13" s="69"/>
      <c r="DW13" s="69"/>
      <c r="DX13" s="69"/>
      <c r="DY13" s="69"/>
    </row>
    <row r="14" spans="1:129" x14ac:dyDescent="0.2">
      <c r="A14" s="80" t="s">
        <v>346</v>
      </c>
      <c r="B14" s="105">
        <f>IF($B$6="",Inputs!$C$47,INDEX($G$20:$G$32,$B$6))</f>
        <v>4.7699999999999999E-2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69"/>
      <c r="DA14" s="69"/>
      <c r="DB14" s="69"/>
      <c r="DC14" s="69"/>
      <c r="DD14" s="69"/>
      <c r="DE14" s="69"/>
      <c r="DF14" s="69"/>
      <c r="DG14" s="69"/>
      <c r="DH14" s="69"/>
      <c r="DI14" s="69"/>
      <c r="DJ14" s="69"/>
      <c r="DK14" s="69"/>
      <c r="DL14" s="69"/>
      <c r="DM14" s="69"/>
      <c r="DN14" s="69"/>
      <c r="DO14" s="69"/>
      <c r="DP14" s="69"/>
      <c r="DQ14" s="69"/>
      <c r="DR14" s="69"/>
      <c r="DS14" s="69"/>
      <c r="DT14" s="69"/>
      <c r="DU14" s="69"/>
      <c r="DV14" s="69"/>
      <c r="DW14" s="69"/>
      <c r="DX14" s="69"/>
      <c r="DY14" s="69"/>
    </row>
    <row r="15" spans="1:129" x14ac:dyDescent="0.2">
      <c r="A15" s="80" t="s">
        <v>347</v>
      </c>
      <c r="B15" s="87">
        <f>IF($B$6="",1,INDEX($H$20:$H$32,$B$6))</f>
        <v>1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69"/>
      <c r="BU15" s="69"/>
      <c r="BV15" s="69"/>
      <c r="BW15" s="69"/>
      <c r="BX15" s="69"/>
      <c r="BY15" s="69"/>
      <c r="BZ15" s="69"/>
      <c r="CA15" s="69"/>
      <c r="CB15" s="69"/>
      <c r="CC15" s="69"/>
      <c r="CD15" s="69"/>
      <c r="CE15" s="69"/>
      <c r="CF15" s="69"/>
      <c r="CG15" s="69"/>
      <c r="CH15" s="69"/>
      <c r="CI15" s="69"/>
      <c r="CJ15" s="69"/>
      <c r="CK15" s="69"/>
      <c r="CL15" s="69"/>
      <c r="CM15" s="69"/>
      <c r="CN15" s="69"/>
      <c r="CO15" s="69"/>
      <c r="CP15" s="69"/>
      <c r="CQ15" s="69"/>
      <c r="CR15" s="69"/>
      <c r="CS15" s="69"/>
      <c r="CT15" s="69"/>
      <c r="CU15" s="69"/>
      <c r="CV15" s="69"/>
      <c r="CW15" s="69"/>
      <c r="CX15" s="69"/>
      <c r="CY15" s="69"/>
      <c r="CZ15" s="69"/>
      <c r="DA15" s="69"/>
      <c r="DB15" s="69"/>
      <c r="DC15" s="69"/>
      <c r="DD15" s="69"/>
      <c r="DE15" s="69"/>
      <c r="DF15" s="69"/>
      <c r="DG15" s="69"/>
      <c r="DH15" s="69"/>
      <c r="DI15" s="69"/>
      <c r="DJ15" s="69"/>
      <c r="DK15" s="69"/>
      <c r="DL15" s="69"/>
      <c r="DM15" s="69"/>
      <c r="DN15" s="69"/>
      <c r="DO15" s="69"/>
      <c r="DP15" s="69"/>
      <c r="DQ15" s="69"/>
      <c r="DR15" s="69"/>
      <c r="DS15" s="69"/>
      <c r="DT15" s="69"/>
      <c r="DU15" s="69"/>
      <c r="DV15" s="69"/>
      <c r="DW15" s="69"/>
      <c r="DX15" s="69"/>
      <c r="DY15" s="69"/>
    </row>
    <row r="16" spans="1:129" x14ac:dyDescent="0.2">
      <c r="A16" s="80" t="s">
        <v>348</v>
      </c>
      <c r="B16" s="107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69"/>
      <c r="BQ16" s="69"/>
      <c r="BR16" s="69"/>
      <c r="BS16" s="69"/>
      <c r="BT16" s="69"/>
      <c r="BU16" s="69"/>
      <c r="BV16" s="69"/>
      <c r="BW16" s="69"/>
      <c r="BX16" s="69"/>
      <c r="BY16" s="69"/>
      <c r="BZ16" s="69"/>
      <c r="CA16" s="69"/>
      <c r="CB16" s="69"/>
      <c r="CC16" s="69"/>
      <c r="CD16" s="69"/>
      <c r="CE16" s="69"/>
      <c r="CF16" s="69"/>
      <c r="CG16" s="69"/>
      <c r="CH16" s="69"/>
      <c r="CI16" s="69"/>
      <c r="CJ16" s="69"/>
      <c r="CK16" s="69"/>
      <c r="CL16" s="69"/>
      <c r="CM16" s="69"/>
      <c r="CN16" s="69"/>
      <c r="CO16" s="69"/>
      <c r="CP16" s="69"/>
      <c r="CQ16" s="69"/>
      <c r="CR16" s="69"/>
      <c r="CS16" s="69"/>
      <c r="CT16" s="69"/>
      <c r="CU16" s="69"/>
      <c r="CV16" s="69"/>
      <c r="CW16" s="69"/>
      <c r="CX16" s="69"/>
      <c r="CY16" s="69"/>
      <c r="CZ16" s="69"/>
      <c r="DA16" s="69"/>
      <c r="DB16" s="69"/>
      <c r="DC16" s="69"/>
      <c r="DD16" s="69"/>
      <c r="DE16" s="69"/>
      <c r="DF16" s="69"/>
      <c r="DG16" s="69"/>
      <c r="DH16" s="69"/>
      <c r="DI16" s="69"/>
      <c r="DJ16" s="69"/>
      <c r="DK16" s="69"/>
      <c r="DL16" s="69"/>
      <c r="DM16" s="69"/>
      <c r="DN16" s="69"/>
      <c r="DO16" s="69"/>
      <c r="DP16" s="69"/>
      <c r="DQ16" s="69"/>
      <c r="DR16" s="69"/>
      <c r="DS16" s="69"/>
      <c r="DT16" s="69"/>
      <c r="DU16" s="69"/>
      <c r="DV16" s="69"/>
      <c r="DW16" s="69"/>
      <c r="DX16" s="69"/>
      <c r="DY16" s="69"/>
    </row>
    <row r="17" spans="1:129" x14ac:dyDescent="0.2">
      <c r="A17" s="10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  <c r="CV17" s="69"/>
      <c r="CW17" s="69"/>
      <c r="CX17" s="69"/>
      <c r="CY17" s="69"/>
      <c r="CZ17" s="69"/>
      <c r="DA17" s="69"/>
      <c r="DB17" s="69"/>
      <c r="DC17" s="69"/>
      <c r="DD17" s="69"/>
      <c r="DE17" s="69"/>
      <c r="DF17" s="69"/>
      <c r="DG17" s="69"/>
      <c r="DH17" s="69"/>
      <c r="DI17" s="69"/>
      <c r="DJ17" s="69"/>
      <c r="DK17" s="69"/>
      <c r="DL17" s="69"/>
      <c r="DM17" s="69"/>
      <c r="DN17" s="69"/>
      <c r="DO17" s="69"/>
      <c r="DP17" s="69"/>
      <c r="DQ17" s="69"/>
      <c r="DR17" s="69"/>
      <c r="DS17" s="69"/>
      <c r="DT17" s="69"/>
      <c r="DU17" s="69"/>
      <c r="DV17" s="69"/>
      <c r="DW17" s="69"/>
      <c r="DX17" s="69"/>
      <c r="DY17" s="69"/>
    </row>
    <row r="18" spans="1:129" x14ac:dyDescent="0.2">
      <c r="A18" s="141" t="s">
        <v>349</v>
      </c>
      <c r="B18" s="149"/>
      <c r="C18" s="149"/>
      <c r="D18" s="149"/>
      <c r="E18" s="149"/>
      <c r="F18" s="149"/>
      <c r="G18" s="142"/>
      <c r="H18" s="80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69"/>
      <c r="DA18" s="69"/>
      <c r="DB18" s="69"/>
      <c r="DC18" s="69"/>
      <c r="DD18" s="69"/>
      <c r="DE18" s="69"/>
      <c r="DF18" s="69"/>
      <c r="DG18" s="69"/>
      <c r="DH18" s="69"/>
      <c r="DI18" s="69"/>
      <c r="DJ18" s="69"/>
      <c r="DK18" s="69"/>
      <c r="DL18" s="69"/>
      <c r="DM18" s="69"/>
      <c r="DN18" s="69"/>
      <c r="DO18" s="69"/>
      <c r="DP18" s="69"/>
      <c r="DQ18" s="69"/>
      <c r="DR18" s="69"/>
      <c r="DS18" s="69"/>
      <c r="DT18" s="69"/>
      <c r="DU18" s="69"/>
      <c r="DV18" s="69"/>
      <c r="DW18" s="69"/>
      <c r="DX18" s="69"/>
      <c r="DY18" s="69"/>
    </row>
    <row r="19" spans="1:129" ht="42" x14ac:dyDescent="0.2">
      <c r="A19" s="79" t="s">
        <v>541</v>
      </c>
      <c r="B19" s="79" t="s">
        <v>350</v>
      </c>
      <c r="C19" s="79" t="s">
        <v>351</v>
      </c>
      <c r="D19" s="79" t="s">
        <v>352</v>
      </c>
      <c r="E19" s="79" t="s">
        <v>353</v>
      </c>
      <c r="F19" s="79" t="s">
        <v>354</v>
      </c>
      <c r="G19" s="79" t="s">
        <v>355</v>
      </c>
      <c r="H19" s="79" t="s">
        <v>356</v>
      </c>
      <c r="I19" s="71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  <c r="DG19" s="69"/>
      <c r="DH19" s="69"/>
      <c r="DI19" s="69"/>
      <c r="DJ19" s="69"/>
      <c r="DK19" s="69"/>
      <c r="DL19" s="69"/>
      <c r="DM19" s="69"/>
      <c r="DN19" s="69"/>
      <c r="DO19" s="69"/>
      <c r="DP19" s="69"/>
      <c r="DQ19" s="69"/>
      <c r="DR19" s="69"/>
      <c r="DS19" s="69"/>
      <c r="DT19" s="69"/>
      <c r="DU19" s="69"/>
      <c r="DV19" s="69"/>
      <c r="DW19" s="69"/>
      <c r="DX19" s="69"/>
      <c r="DY19" s="69"/>
    </row>
    <row r="20" spans="1:129" x14ac:dyDescent="0.2">
      <c r="A20" s="80" t="s">
        <v>542</v>
      </c>
      <c r="B20" s="109">
        <f>Inputs!$C$82</f>
        <v>0.88</v>
      </c>
      <c r="C20" s="81">
        <f>Inputs!$C$32</f>
        <v>337.83</v>
      </c>
      <c r="D20" s="110">
        <f>Inputs!$C$25</f>
        <v>0.04</v>
      </c>
      <c r="E20" s="111">
        <f>Inputs!$C$59</f>
        <v>10</v>
      </c>
      <c r="F20" s="112">
        <f>Inputs!$C$21</f>
        <v>0.3</v>
      </c>
      <c r="G20" s="110">
        <f>Inputs!$C$47</f>
        <v>4.7699999999999999E-2</v>
      </c>
      <c r="H20" s="87">
        <v>1</v>
      </c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9"/>
      <c r="CK20" s="69"/>
      <c r="CL20" s="69"/>
      <c r="CM20" s="69"/>
      <c r="CN20" s="69"/>
      <c r="CO20" s="69"/>
      <c r="CP20" s="69"/>
      <c r="CQ20" s="69"/>
      <c r="CR20" s="69"/>
      <c r="CS20" s="69"/>
      <c r="CT20" s="69"/>
      <c r="CU20" s="69"/>
      <c r="CV20" s="69"/>
      <c r="CW20" s="69"/>
      <c r="CX20" s="69"/>
      <c r="CY20" s="69"/>
      <c r="CZ20" s="69"/>
      <c r="DA20" s="69"/>
      <c r="DB20" s="69"/>
      <c r="DC20" s="69"/>
      <c r="DD20" s="69"/>
      <c r="DE20" s="69"/>
      <c r="DF20" s="69"/>
      <c r="DG20" s="69"/>
      <c r="DH20" s="69"/>
      <c r="DI20" s="69"/>
      <c r="DJ20" s="69"/>
      <c r="DK20" s="69"/>
      <c r="DL20" s="69"/>
      <c r="DM20" s="69"/>
      <c r="DN20" s="69"/>
      <c r="DO20" s="69"/>
      <c r="DP20" s="69"/>
      <c r="DQ20" s="69"/>
      <c r="DR20" s="69"/>
      <c r="DS20" s="69"/>
      <c r="DT20" s="69"/>
      <c r="DU20" s="69"/>
      <c r="DV20" s="69"/>
      <c r="DW20" s="69"/>
      <c r="DX20" s="69"/>
      <c r="DY20" s="69"/>
    </row>
    <row r="21" spans="1:129" x14ac:dyDescent="0.2">
      <c r="A21" s="80" t="s">
        <v>543</v>
      </c>
      <c r="B21" s="109">
        <f>Inputs!$C$87</f>
        <v>0.69</v>
      </c>
      <c r="C21" s="81">
        <f>Inputs!$C$32</f>
        <v>337.83</v>
      </c>
      <c r="D21" s="110">
        <f>Inputs!$C$25</f>
        <v>0.04</v>
      </c>
      <c r="E21" s="111">
        <f>Inputs!$C$59</f>
        <v>10</v>
      </c>
      <c r="F21" s="112">
        <f>Inputs!$C$21</f>
        <v>0.3</v>
      </c>
      <c r="G21" s="110">
        <f>Inputs!$C$47</f>
        <v>4.7699999999999999E-2</v>
      </c>
      <c r="H21" s="87">
        <v>1</v>
      </c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  <c r="DG21" s="69"/>
      <c r="DH21" s="69"/>
      <c r="DI21" s="69"/>
      <c r="DJ21" s="69"/>
      <c r="DK21" s="69"/>
      <c r="DL21" s="69"/>
      <c r="DM21" s="69"/>
      <c r="DN21" s="69"/>
      <c r="DO21" s="69"/>
      <c r="DP21" s="69"/>
      <c r="DQ21" s="69"/>
      <c r="DR21" s="69"/>
      <c r="DS21" s="69"/>
      <c r="DT21" s="69"/>
      <c r="DU21" s="69"/>
      <c r="DV21" s="69"/>
      <c r="DW21" s="69"/>
      <c r="DX21" s="69"/>
      <c r="DY21" s="69"/>
    </row>
    <row r="22" spans="1:129" x14ac:dyDescent="0.2">
      <c r="A22" s="80" t="s">
        <v>544</v>
      </c>
      <c r="B22" s="109">
        <f>Inputs!$C$88</f>
        <v>1.08</v>
      </c>
      <c r="C22" s="81">
        <f>Inputs!$C$32</f>
        <v>337.83</v>
      </c>
      <c r="D22" s="110">
        <f>Inputs!$C$25</f>
        <v>0.04</v>
      </c>
      <c r="E22" s="111">
        <f>Inputs!$C$59</f>
        <v>10</v>
      </c>
      <c r="F22" s="112">
        <f>Inputs!$C$21</f>
        <v>0.3</v>
      </c>
      <c r="G22" s="110">
        <f>Inputs!$C$47</f>
        <v>4.7699999999999999E-2</v>
      </c>
      <c r="H22" s="87">
        <v>1</v>
      </c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69"/>
      <c r="DA22" s="69"/>
      <c r="DB22" s="69"/>
      <c r="DC22" s="69"/>
      <c r="DD22" s="69"/>
      <c r="DE22" s="69"/>
      <c r="DF22" s="69"/>
      <c r="DG22" s="69"/>
      <c r="DH22" s="69"/>
      <c r="DI22" s="69"/>
      <c r="DJ22" s="69"/>
      <c r="DK22" s="69"/>
      <c r="DL22" s="69"/>
      <c r="DM22" s="69"/>
      <c r="DN22" s="69"/>
      <c r="DO22" s="69"/>
      <c r="DP22" s="69"/>
      <c r="DQ22" s="69"/>
      <c r="DR22" s="69"/>
      <c r="DS22" s="69"/>
      <c r="DT22" s="69"/>
      <c r="DU22" s="69"/>
      <c r="DV22" s="69"/>
      <c r="DW22" s="69"/>
      <c r="DX22" s="69"/>
      <c r="DY22" s="69"/>
    </row>
    <row r="23" spans="1:129" x14ac:dyDescent="0.2">
      <c r="A23" s="80" t="s">
        <v>545</v>
      </c>
      <c r="B23" s="109">
        <f>Inputs!$C$82</f>
        <v>0.88</v>
      </c>
      <c r="C23" s="81">
        <f>Inputs!$C$83</f>
        <v>181.91</v>
      </c>
      <c r="D23" s="110">
        <f>Inputs!$C$25</f>
        <v>0.04</v>
      </c>
      <c r="E23" s="111">
        <f>Inputs!$C$59</f>
        <v>10</v>
      </c>
      <c r="F23" s="112">
        <f>Inputs!$C$21</f>
        <v>0.3</v>
      </c>
      <c r="G23" s="110">
        <f>Inputs!$C$47</f>
        <v>4.7699999999999999E-2</v>
      </c>
      <c r="H23" s="87">
        <v>1</v>
      </c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69"/>
      <c r="DA23" s="69"/>
      <c r="DB23" s="69"/>
      <c r="DC23" s="69"/>
      <c r="DD23" s="69"/>
      <c r="DE23" s="69"/>
      <c r="DF23" s="69"/>
      <c r="DG23" s="69"/>
      <c r="DH23" s="69"/>
      <c r="DI23" s="69"/>
      <c r="DJ23" s="69"/>
      <c r="DK23" s="69"/>
      <c r="DL23" s="69"/>
      <c r="DM23" s="69"/>
      <c r="DN23" s="69"/>
      <c r="DO23" s="69"/>
      <c r="DP23" s="69"/>
      <c r="DQ23" s="69"/>
      <c r="DR23" s="69"/>
      <c r="DS23" s="69"/>
      <c r="DT23" s="69"/>
      <c r="DU23" s="69"/>
      <c r="DV23" s="69"/>
      <c r="DW23" s="69"/>
      <c r="DX23" s="69"/>
      <c r="DY23" s="69"/>
    </row>
    <row r="24" spans="1:129" x14ac:dyDescent="0.2">
      <c r="A24" s="80" t="s">
        <v>546</v>
      </c>
      <c r="B24" s="109">
        <f>Inputs!$C$82</f>
        <v>0.88</v>
      </c>
      <c r="C24" s="81">
        <f>Inputs!$C$84</f>
        <v>554.72</v>
      </c>
      <c r="D24" s="110">
        <f>Inputs!$C$25</f>
        <v>0.04</v>
      </c>
      <c r="E24" s="111">
        <f>Inputs!$C$59</f>
        <v>10</v>
      </c>
      <c r="F24" s="112">
        <f>Inputs!$C$21</f>
        <v>0.3</v>
      </c>
      <c r="G24" s="110">
        <f>Inputs!$C$47</f>
        <v>4.7699999999999999E-2</v>
      </c>
      <c r="H24" s="87">
        <v>1</v>
      </c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  <c r="BZ24" s="69"/>
      <c r="CA24" s="69"/>
      <c r="CB24" s="69"/>
      <c r="CC24" s="69"/>
      <c r="CD24" s="69"/>
      <c r="CE24" s="69"/>
      <c r="CF24" s="69"/>
      <c r="CG24" s="69"/>
      <c r="CH24" s="69"/>
      <c r="CI24" s="69"/>
      <c r="CJ24" s="69"/>
      <c r="CK24" s="69"/>
      <c r="CL24" s="69"/>
      <c r="CM24" s="69"/>
      <c r="CN24" s="69"/>
      <c r="CO24" s="69"/>
      <c r="CP24" s="69"/>
      <c r="CQ24" s="69"/>
      <c r="CR24" s="69"/>
      <c r="CS24" s="69"/>
      <c r="CT24" s="69"/>
      <c r="CU24" s="69"/>
      <c r="CV24" s="69"/>
      <c r="CW24" s="69"/>
      <c r="CX24" s="69"/>
      <c r="CY24" s="69"/>
      <c r="CZ24" s="69"/>
      <c r="DA24" s="69"/>
      <c r="DB24" s="69"/>
      <c r="DC24" s="69"/>
      <c r="DD24" s="69"/>
      <c r="DE24" s="69"/>
      <c r="DF24" s="69"/>
      <c r="DG24" s="69"/>
      <c r="DH24" s="69"/>
      <c r="DI24" s="69"/>
      <c r="DJ24" s="69"/>
      <c r="DK24" s="69"/>
      <c r="DL24" s="69"/>
      <c r="DM24" s="69"/>
      <c r="DN24" s="69"/>
      <c r="DO24" s="69"/>
      <c r="DP24" s="69"/>
      <c r="DQ24" s="69"/>
      <c r="DR24" s="69"/>
      <c r="DS24" s="69"/>
      <c r="DT24" s="69"/>
      <c r="DU24" s="69"/>
      <c r="DV24" s="69"/>
      <c r="DW24" s="69"/>
      <c r="DX24" s="69"/>
      <c r="DY24" s="69"/>
    </row>
    <row r="25" spans="1:129" x14ac:dyDescent="0.2">
      <c r="A25" s="80" t="s">
        <v>547</v>
      </c>
      <c r="B25" s="109">
        <f>Inputs!$C$82</f>
        <v>0.88</v>
      </c>
      <c r="C25" s="81">
        <f>Inputs!$C$32</f>
        <v>337.83</v>
      </c>
      <c r="D25" s="110">
        <f>Inputs!$C$86</f>
        <v>1.9209202012940331E-2</v>
      </c>
      <c r="E25" s="111">
        <f>Inputs!$C$59</f>
        <v>10</v>
      </c>
      <c r="F25" s="112">
        <f>Inputs!$C$21</f>
        <v>0.3</v>
      </c>
      <c r="G25" s="110">
        <f>Inputs!$C$47</f>
        <v>4.7699999999999999E-2</v>
      </c>
      <c r="H25" s="87">
        <v>1</v>
      </c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  <c r="DA25" s="69"/>
      <c r="DB25" s="69"/>
      <c r="DC25" s="69"/>
      <c r="DD25" s="69"/>
      <c r="DE25" s="69"/>
      <c r="DF25" s="69"/>
      <c r="DG25" s="69"/>
      <c r="DH25" s="69"/>
      <c r="DI25" s="69"/>
      <c r="DJ25" s="69"/>
      <c r="DK25" s="69"/>
      <c r="DL25" s="69"/>
      <c r="DM25" s="69"/>
      <c r="DN25" s="69"/>
      <c r="DO25" s="69"/>
      <c r="DP25" s="69"/>
      <c r="DQ25" s="69"/>
      <c r="DR25" s="69"/>
      <c r="DS25" s="69"/>
      <c r="DT25" s="69"/>
      <c r="DU25" s="69"/>
      <c r="DV25" s="69"/>
      <c r="DW25" s="69"/>
      <c r="DX25" s="69"/>
      <c r="DY25" s="69"/>
    </row>
    <row r="26" spans="1:129" x14ac:dyDescent="0.2">
      <c r="A26" s="80" t="s">
        <v>548</v>
      </c>
      <c r="B26" s="109">
        <f>Inputs!$C$82</f>
        <v>0.88</v>
      </c>
      <c r="C26" s="81">
        <f>Inputs!$C$32</f>
        <v>337.83</v>
      </c>
      <c r="D26" s="110">
        <f>Inputs!$C$25</f>
        <v>0.04</v>
      </c>
      <c r="E26" s="113">
        <v>5</v>
      </c>
      <c r="F26" s="112">
        <f>Inputs!$C$21</f>
        <v>0.3</v>
      </c>
      <c r="G26" s="110">
        <f>Inputs!$C$47</f>
        <v>4.7699999999999999E-2</v>
      </c>
      <c r="H26" s="87">
        <v>1</v>
      </c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69"/>
      <c r="CF26" s="69"/>
      <c r="CG26" s="69"/>
      <c r="CH26" s="69"/>
      <c r="CI26" s="69"/>
      <c r="CJ26" s="69"/>
      <c r="CK26" s="69"/>
      <c r="CL26" s="69"/>
      <c r="CM26" s="69"/>
      <c r="CN26" s="69"/>
      <c r="CO26" s="69"/>
      <c r="CP26" s="69"/>
      <c r="CQ26" s="69"/>
      <c r="CR26" s="69"/>
      <c r="CS26" s="69"/>
      <c r="CT26" s="69"/>
      <c r="CU26" s="69"/>
      <c r="CV26" s="69"/>
      <c r="CW26" s="69"/>
      <c r="CX26" s="69"/>
      <c r="CY26" s="69"/>
      <c r="CZ26" s="69"/>
      <c r="DA26" s="69"/>
      <c r="DB26" s="69"/>
      <c r="DC26" s="69"/>
      <c r="DD26" s="69"/>
      <c r="DE26" s="69"/>
      <c r="DF26" s="69"/>
      <c r="DG26" s="69"/>
      <c r="DH26" s="69"/>
      <c r="DI26" s="69"/>
      <c r="DJ26" s="69"/>
      <c r="DK26" s="69"/>
      <c r="DL26" s="69"/>
      <c r="DM26" s="69"/>
      <c r="DN26" s="69"/>
      <c r="DO26" s="69"/>
      <c r="DP26" s="69"/>
      <c r="DQ26" s="69"/>
      <c r="DR26" s="69"/>
      <c r="DS26" s="69"/>
      <c r="DT26" s="69"/>
      <c r="DU26" s="69"/>
      <c r="DV26" s="69"/>
      <c r="DW26" s="69"/>
      <c r="DX26" s="69"/>
      <c r="DY26" s="69"/>
    </row>
    <row r="27" spans="1:129" x14ac:dyDescent="0.2">
      <c r="A27" s="80" t="s">
        <v>549</v>
      </c>
      <c r="B27" s="109">
        <f>Inputs!$C$82</f>
        <v>0.88</v>
      </c>
      <c r="C27" s="81">
        <f>Inputs!$C$32</f>
        <v>337.83</v>
      </c>
      <c r="D27" s="110">
        <f>Inputs!$C$25</f>
        <v>0.04</v>
      </c>
      <c r="E27" s="113">
        <v>15</v>
      </c>
      <c r="F27" s="112">
        <f>Inputs!$C$21</f>
        <v>0.3</v>
      </c>
      <c r="G27" s="110">
        <f>Inputs!$C$47</f>
        <v>4.7699999999999999E-2</v>
      </c>
      <c r="H27" s="87">
        <v>1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  <c r="BY27" s="69"/>
      <c r="BZ27" s="69"/>
      <c r="CA27" s="69"/>
      <c r="CB27" s="69"/>
      <c r="CC27" s="69"/>
      <c r="CD27" s="69"/>
      <c r="CE27" s="69"/>
      <c r="CF27" s="69"/>
      <c r="CG27" s="69"/>
      <c r="CH27" s="69"/>
      <c r="CI27" s="69"/>
      <c r="CJ27" s="69"/>
      <c r="CK27" s="69"/>
      <c r="CL27" s="69"/>
      <c r="CM27" s="69"/>
      <c r="CN27" s="69"/>
      <c r="CO27" s="69"/>
      <c r="CP27" s="69"/>
      <c r="CQ27" s="69"/>
      <c r="CR27" s="69"/>
      <c r="CS27" s="69"/>
      <c r="CT27" s="69"/>
      <c r="CU27" s="69"/>
      <c r="CV27" s="69"/>
      <c r="CW27" s="69"/>
      <c r="CX27" s="69"/>
      <c r="CY27" s="69"/>
      <c r="CZ27" s="69"/>
      <c r="DA27" s="69"/>
      <c r="DB27" s="69"/>
      <c r="DC27" s="69"/>
      <c r="DD27" s="69"/>
      <c r="DE27" s="69"/>
      <c r="DF27" s="69"/>
      <c r="DG27" s="69"/>
      <c r="DH27" s="69"/>
      <c r="DI27" s="69"/>
      <c r="DJ27" s="69"/>
      <c r="DK27" s="69"/>
      <c r="DL27" s="69"/>
      <c r="DM27" s="69"/>
      <c r="DN27" s="69"/>
      <c r="DO27" s="69"/>
      <c r="DP27" s="69"/>
      <c r="DQ27" s="69"/>
      <c r="DR27" s="69"/>
      <c r="DS27" s="69"/>
      <c r="DT27" s="69"/>
      <c r="DU27" s="69"/>
      <c r="DV27" s="69"/>
      <c r="DW27" s="69"/>
      <c r="DX27" s="69"/>
      <c r="DY27" s="69"/>
    </row>
    <row r="28" spans="1:129" x14ac:dyDescent="0.2">
      <c r="A28" s="80" t="s">
        <v>550</v>
      </c>
      <c r="B28" s="109">
        <f>Inputs!$C$82</f>
        <v>0.88</v>
      </c>
      <c r="C28" s="81">
        <f>Inputs!$C$32</f>
        <v>337.83</v>
      </c>
      <c r="D28" s="110">
        <f>Inputs!$C$25</f>
        <v>0.04</v>
      </c>
      <c r="E28" s="111">
        <f>Inputs!$C$59</f>
        <v>10</v>
      </c>
      <c r="F28" s="112">
        <f>Inputs!$C$89</f>
        <v>0.06</v>
      </c>
      <c r="G28" s="110">
        <f>Inputs!$C$47</f>
        <v>4.7699999999999999E-2</v>
      </c>
      <c r="H28" s="87">
        <v>1</v>
      </c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  <c r="DG28" s="69"/>
      <c r="DH28" s="69"/>
      <c r="DI28" s="69"/>
      <c r="DJ28" s="69"/>
      <c r="DK28" s="69"/>
      <c r="DL28" s="69"/>
      <c r="DM28" s="69"/>
      <c r="DN28" s="69"/>
      <c r="DO28" s="69"/>
      <c r="DP28" s="69"/>
      <c r="DQ28" s="69"/>
      <c r="DR28" s="69"/>
      <c r="DS28" s="69"/>
      <c r="DT28" s="69"/>
      <c r="DU28" s="69"/>
      <c r="DV28" s="69"/>
      <c r="DW28" s="69"/>
      <c r="DX28" s="69"/>
      <c r="DY28" s="69"/>
    </row>
    <row r="29" spans="1:129" x14ac:dyDescent="0.2">
      <c r="A29" s="80" t="s">
        <v>551</v>
      </c>
      <c r="B29" s="109">
        <f>Inputs!$C$82</f>
        <v>0.88</v>
      </c>
      <c r="C29" s="81">
        <f>Inputs!$C$32</f>
        <v>337.83</v>
      </c>
      <c r="D29" s="110">
        <f>Inputs!$C$25</f>
        <v>0.04</v>
      </c>
      <c r="E29" s="111">
        <f>Inputs!$C$59</f>
        <v>10</v>
      </c>
      <c r="F29" s="89">
        <v>0</v>
      </c>
      <c r="G29" s="110">
        <f>Inputs!$C$47</f>
        <v>4.7699999999999999E-2</v>
      </c>
      <c r="H29" s="87">
        <v>1</v>
      </c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  <c r="CM29" s="69"/>
      <c r="CN29" s="69"/>
      <c r="CO29" s="69"/>
      <c r="CP29" s="69"/>
      <c r="CQ29" s="69"/>
      <c r="CR29" s="69"/>
      <c r="CS29" s="69"/>
      <c r="CT29" s="69"/>
      <c r="CU29" s="69"/>
      <c r="CV29" s="69"/>
      <c r="CW29" s="69"/>
      <c r="CX29" s="69"/>
      <c r="CY29" s="69"/>
      <c r="CZ29" s="69"/>
      <c r="DA29" s="69"/>
      <c r="DB29" s="69"/>
      <c r="DC29" s="69"/>
      <c r="DD29" s="69"/>
      <c r="DE29" s="69"/>
      <c r="DF29" s="69"/>
      <c r="DG29" s="69"/>
      <c r="DH29" s="69"/>
      <c r="DI29" s="69"/>
      <c r="DJ29" s="69"/>
      <c r="DK29" s="69"/>
      <c r="DL29" s="69"/>
      <c r="DM29" s="69"/>
      <c r="DN29" s="69"/>
      <c r="DO29" s="69"/>
      <c r="DP29" s="69"/>
      <c r="DQ29" s="69"/>
      <c r="DR29" s="69"/>
      <c r="DS29" s="69"/>
      <c r="DT29" s="69"/>
      <c r="DU29" s="69"/>
      <c r="DV29" s="69"/>
      <c r="DW29" s="69"/>
      <c r="DX29" s="69"/>
      <c r="DY29" s="69"/>
    </row>
    <row r="30" spans="1:129" x14ac:dyDescent="0.2">
      <c r="A30" s="80" t="s">
        <v>552</v>
      </c>
      <c r="B30" s="109">
        <f>Inputs!$C$82</f>
        <v>0.88</v>
      </c>
      <c r="C30" s="81">
        <f>Inputs!$C$32</f>
        <v>337.83</v>
      </c>
      <c r="D30" s="110">
        <f>Inputs!$C$25</f>
        <v>0.04</v>
      </c>
      <c r="E30" s="111">
        <f>Inputs!$C$59</f>
        <v>10</v>
      </c>
      <c r="F30" s="112">
        <f>Inputs!$C$21</f>
        <v>0.3</v>
      </c>
      <c r="G30" s="110">
        <f>Inputs!$C$47+0.01</f>
        <v>5.7700000000000001E-2</v>
      </c>
      <c r="H30" s="87">
        <v>1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69"/>
      <c r="CQ30" s="69"/>
      <c r="CR30" s="69"/>
      <c r="CS30" s="69"/>
      <c r="CT30" s="69"/>
      <c r="CU30" s="69"/>
      <c r="CV30" s="69"/>
      <c r="CW30" s="69"/>
      <c r="CX30" s="69"/>
      <c r="CY30" s="69"/>
      <c r="CZ30" s="69"/>
      <c r="DA30" s="69"/>
      <c r="DB30" s="69"/>
      <c r="DC30" s="69"/>
      <c r="DD30" s="69"/>
      <c r="DE30" s="69"/>
      <c r="DF30" s="69"/>
      <c r="DG30" s="69"/>
      <c r="DH30" s="69"/>
      <c r="DI30" s="69"/>
      <c r="DJ30" s="69"/>
      <c r="DK30" s="69"/>
      <c r="DL30" s="69"/>
      <c r="DM30" s="69"/>
      <c r="DN30" s="69"/>
      <c r="DO30" s="69"/>
      <c r="DP30" s="69"/>
      <c r="DQ30" s="69"/>
      <c r="DR30" s="69"/>
      <c r="DS30" s="69"/>
      <c r="DT30" s="69"/>
      <c r="DU30" s="69"/>
      <c r="DV30" s="69"/>
      <c r="DW30" s="69"/>
      <c r="DX30" s="69"/>
      <c r="DY30" s="69"/>
    </row>
    <row r="31" spans="1:129" x14ac:dyDescent="0.2">
      <c r="A31" s="80" t="s">
        <v>553</v>
      </c>
      <c r="B31" s="109">
        <f>Inputs!$C$82</f>
        <v>0.88</v>
      </c>
      <c r="C31" s="81">
        <f>Inputs!$C$32</f>
        <v>337.83</v>
      </c>
      <c r="D31" s="110">
        <f>Inputs!$C$25</f>
        <v>0.04</v>
      </c>
      <c r="E31" s="111">
        <f>Inputs!$C$59</f>
        <v>10</v>
      </c>
      <c r="F31" s="112">
        <f>Inputs!$C$21</f>
        <v>0.3</v>
      </c>
      <c r="G31" s="110">
        <f>Inputs!$C$47-0.01</f>
        <v>3.7699999999999997E-2</v>
      </c>
      <c r="H31" s="87">
        <v>1</v>
      </c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69"/>
      <c r="CM31" s="69"/>
      <c r="CN31" s="69"/>
      <c r="CO31" s="69"/>
      <c r="CP31" s="69"/>
      <c r="CQ31" s="69"/>
      <c r="CR31" s="69"/>
      <c r="CS31" s="69"/>
      <c r="CT31" s="69"/>
      <c r="CU31" s="69"/>
      <c r="CV31" s="69"/>
      <c r="CW31" s="69"/>
      <c r="CX31" s="69"/>
      <c r="CY31" s="69"/>
      <c r="CZ31" s="69"/>
      <c r="DA31" s="69"/>
      <c r="DB31" s="69"/>
      <c r="DC31" s="69"/>
      <c r="DD31" s="69"/>
      <c r="DE31" s="69"/>
      <c r="DF31" s="69"/>
      <c r="DG31" s="69"/>
      <c r="DH31" s="69"/>
      <c r="DI31" s="69"/>
      <c r="DJ31" s="69"/>
      <c r="DK31" s="69"/>
      <c r="DL31" s="69"/>
      <c r="DM31" s="69"/>
      <c r="DN31" s="69"/>
      <c r="DO31" s="69"/>
      <c r="DP31" s="69"/>
      <c r="DQ31" s="69"/>
      <c r="DR31" s="69"/>
      <c r="DS31" s="69"/>
      <c r="DT31" s="69"/>
      <c r="DU31" s="69"/>
      <c r="DV31" s="69"/>
      <c r="DW31" s="69"/>
      <c r="DX31" s="69"/>
      <c r="DY31" s="69"/>
    </row>
    <row r="32" spans="1:129" x14ac:dyDescent="0.2">
      <c r="A32" s="80" t="s">
        <v>554</v>
      </c>
      <c r="B32" s="109">
        <f>Inputs!$C$82</f>
        <v>0.88</v>
      </c>
      <c r="C32" s="81">
        <f>Inputs!$C$32</f>
        <v>337.83</v>
      </c>
      <c r="D32" s="110">
        <f>Inputs!$C$25</f>
        <v>0.04</v>
      </c>
      <c r="E32" s="111">
        <f>Inputs!$C$59</f>
        <v>10</v>
      </c>
      <c r="F32" s="112">
        <f>Inputs!$C$21</f>
        <v>0.3</v>
      </c>
      <c r="G32" s="110">
        <f>Inputs!$C$47</f>
        <v>4.7699999999999999E-2</v>
      </c>
      <c r="H32" s="113">
        <v>0</v>
      </c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  <c r="CO32" s="69"/>
      <c r="CP32" s="69"/>
      <c r="CQ32" s="69"/>
      <c r="CR32" s="69"/>
      <c r="CS32" s="69"/>
      <c r="CT32" s="69"/>
      <c r="CU32" s="69"/>
      <c r="CV32" s="69"/>
      <c r="CW32" s="69"/>
      <c r="CX32" s="69"/>
      <c r="CY32" s="69"/>
      <c r="CZ32" s="69"/>
      <c r="DA32" s="69"/>
      <c r="DB32" s="69"/>
      <c r="DC32" s="69"/>
      <c r="DD32" s="69"/>
      <c r="DE32" s="69"/>
      <c r="DF32" s="69"/>
      <c r="DG32" s="69"/>
      <c r="DH32" s="69"/>
      <c r="DI32" s="69"/>
      <c r="DJ32" s="69"/>
      <c r="DK32" s="69"/>
      <c r="DL32" s="69"/>
      <c r="DM32" s="69"/>
      <c r="DN32" s="69"/>
      <c r="DO32" s="69"/>
      <c r="DP32" s="69"/>
      <c r="DQ32" s="69"/>
      <c r="DR32" s="69"/>
      <c r="DS32" s="69"/>
      <c r="DT32" s="69"/>
      <c r="DU32" s="69"/>
      <c r="DV32" s="69"/>
      <c r="DW32" s="69"/>
      <c r="DX32" s="69"/>
      <c r="DY32" s="69"/>
    </row>
    <row r="33" spans="1:129" x14ac:dyDescent="0.2">
      <c r="A33" s="108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  <c r="CG33" s="69"/>
      <c r="CH33" s="69"/>
      <c r="CI33" s="69"/>
      <c r="CJ33" s="69"/>
      <c r="CK33" s="69"/>
      <c r="CL33" s="69"/>
      <c r="CM33" s="69"/>
      <c r="CN33" s="69"/>
      <c r="CO33" s="69"/>
      <c r="CP33" s="69"/>
      <c r="CQ33" s="69"/>
      <c r="CR33" s="69"/>
      <c r="CS33" s="69"/>
      <c r="CT33" s="69"/>
      <c r="CU33" s="69"/>
      <c r="CV33" s="69"/>
      <c r="CW33" s="69"/>
      <c r="CX33" s="69"/>
      <c r="CY33" s="69"/>
      <c r="CZ33" s="69"/>
      <c r="DA33" s="69"/>
      <c r="DB33" s="69"/>
      <c r="DC33" s="69"/>
      <c r="DD33" s="69"/>
      <c r="DE33" s="69"/>
      <c r="DF33" s="69"/>
      <c r="DG33" s="69"/>
      <c r="DH33" s="69"/>
      <c r="DI33" s="69"/>
      <c r="DJ33" s="69"/>
      <c r="DK33" s="69"/>
      <c r="DL33" s="69"/>
      <c r="DM33" s="69"/>
      <c r="DN33" s="69"/>
      <c r="DO33" s="69"/>
      <c r="DP33" s="69"/>
      <c r="DQ33" s="69"/>
      <c r="DR33" s="69"/>
      <c r="DS33" s="69"/>
      <c r="DT33" s="69"/>
      <c r="DU33" s="69"/>
      <c r="DV33" s="69"/>
      <c r="DW33" s="69"/>
      <c r="DX33" s="69"/>
      <c r="DY33" s="69"/>
    </row>
    <row r="34" spans="1:129" x14ac:dyDescent="0.2">
      <c r="A34" s="150" t="s">
        <v>357</v>
      </c>
      <c r="B34" s="151"/>
      <c r="C34" s="151"/>
      <c r="D34" s="151"/>
      <c r="E34" s="151"/>
      <c r="F34" s="151"/>
      <c r="G34" s="152"/>
      <c r="H34" s="80"/>
      <c r="I34" s="69"/>
      <c r="J34" s="68" t="s">
        <v>358</v>
      </c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8" t="s">
        <v>359</v>
      </c>
      <c r="BQ34" s="69"/>
      <c r="BR34" s="69"/>
      <c r="BS34" s="69"/>
      <c r="BT34" s="69"/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69"/>
      <c r="CF34" s="69"/>
      <c r="CG34" s="69"/>
      <c r="CH34" s="69"/>
      <c r="CI34" s="69"/>
      <c r="CJ34" s="69"/>
      <c r="CK34" s="69"/>
      <c r="CL34" s="69"/>
      <c r="CM34" s="69"/>
      <c r="CN34" s="69"/>
      <c r="CO34" s="69"/>
      <c r="CP34" s="69"/>
      <c r="CQ34" s="69"/>
      <c r="CR34" s="69"/>
      <c r="CS34" s="69"/>
      <c r="CT34" s="69"/>
      <c r="CU34" s="69"/>
      <c r="CV34" s="69"/>
      <c r="CW34" s="69"/>
      <c r="CX34" s="69"/>
      <c r="CY34" s="69"/>
      <c r="CZ34" s="69"/>
      <c r="DA34" s="69"/>
      <c r="DB34" s="69"/>
      <c r="DC34" s="69"/>
      <c r="DD34" s="69"/>
      <c r="DE34" s="69"/>
      <c r="DF34" s="69"/>
      <c r="DG34" s="69"/>
      <c r="DH34" s="69"/>
      <c r="DI34" s="69"/>
      <c r="DJ34" s="69"/>
      <c r="DK34" s="69"/>
      <c r="DL34" s="69"/>
      <c r="DM34" s="69"/>
      <c r="DN34" s="69"/>
      <c r="DO34" s="69"/>
      <c r="DP34" s="69"/>
      <c r="DQ34" s="69"/>
      <c r="DR34" s="69"/>
      <c r="DS34" s="69"/>
      <c r="DT34" s="69"/>
      <c r="DU34" s="69"/>
      <c r="DV34" s="69"/>
      <c r="DW34" s="69"/>
      <c r="DX34" s="69"/>
      <c r="DY34" s="69"/>
    </row>
    <row r="35" spans="1:129" ht="28" x14ac:dyDescent="0.2">
      <c r="A35" s="79" t="s">
        <v>555</v>
      </c>
      <c r="B35" s="79" t="s">
        <v>360</v>
      </c>
      <c r="C35" s="79" t="s">
        <v>361</v>
      </c>
      <c r="D35" s="79" t="s">
        <v>362</v>
      </c>
      <c r="E35" s="79" t="s">
        <v>363</v>
      </c>
      <c r="F35" s="79" t="s">
        <v>364</v>
      </c>
      <c r="G35" s="79" t="s">
        <v>365</v>
      </c>
      <c r="H35" s="79" t="s">
        <v>366</v>
      </c>
      <c r="I35" s="69"/>
      <c r="J35" s="72">
        <f>Results!$B$23</f>
        <v>-3.6346341261150883E-6</v>
      </c>
      <c r="K35" s="73">
        <v>5</v>
      </c>
      <c r="L35" s="73">
        <v>6</v>
      </c>
      <c r="M35" s="73">
        <v>7</v>
      </c>
      <c r="N35" s="73">
        <v>8</v>
      </c>
      <c r="O35" s="73">
        <v>9</v>
      </c>
      <c r="P35" s="73">
        <v>10</v>
      </c>
      <c r="Q35" s="73">
        <v>11</v>
      </c>
      <c r="R35" s="73">
        <v>12</v>
      </c>
      <c r="S35" s="73">
        <v>13</v>
      </c>
      <c r="T35" s="73">
        <v>14</v>
      </c>
      <c r="U35" s="73">
        <v>15</v>
      </c>
      <c r="V35" s="73">
        <v>16</v>
      </c>
      <c r="W35" s="73">
        <v>17</v>
      </c>
      <c r="X35" s="73">
        <v>18</v>
      </c>
      <c r="Y35" s="73">
        <v>19</v>
      </c>
      <c r="Z35" s="73">
        <v>20</v>
      </c>
      <c r="AA35" s="73">
        <v>21</v>
      </c>
      <c r="AB35" s="73">
        <v>22</v>
      </c>
      <c r="AC35" s="73">
        <v>23</v>
      </c>
      <c r="AD35" s="73">
        <v>24</v>
      </c>
      <c r="AE35" s="73">
        <v>25</v>
      </c>
      <c r="AF35" s="73">
        <v>26</v>
      </c>
      <c r="AG35" s="73">
        <v>27</v>
      </c>
      <c r="AH35" s="73">
        <v>28</v>
      </c>
      <c r="AI35" s="73">
        <v>29</v>
      </c>
      <c r="AJ35" s="73">
        <v>30</v>
      </c>
      <c r="AK35" s="73">
        <v>31</v>
      </c>
      <c r="AL35" s="73">
        <v>32</v>
      </c>
      <c r="AM35" s="73">
        <v>33</v>
      </c>
      <c r="AN35" s="73">
        <v>34</v>
      </c>
      <c r="AO35" s="73">
        <v>35</v>
      </c>
      <c r="AP35" s="73">
        <v>36</v>
      </c>
      <c r="AQ35" s="73">
        <v>37</v>
      </c>
      <c r="AR35" s="73">
        <v>38</v>
      </c>
      <c r="AS35" s="73">
        <v>39</v>
      </c>
      <c r="AT35" s="73">
        <v>40</v>
      </c>
      <c r="AU35" s="73">
        <v>41</v>
      </c>
      <c r="AV35" s="73">
        <v>42</v>
      </c>
      <c r="AW35" s="73">
        <v>43</v>
      </c>
      <c r="AX35" s="73">
        <v>44</v>
      </c>
      <c r="AY35" s="73">
        <v>45</v>
      </c>
      <c r="AZ35" s="73">
        <v>46</v>
      </c>
      <c r="BA35" s="73">
        <v>47</v>
      </c>
      <c r="BB35" s="73">
        <v>48</v>
      </c>
      <c r="BC35" s="73">
        <v>49</v>
      </c>
      <c r="BD35" s="73">
        <v>50</v>
      </c>
      <c r="BE35" s="73">
        <v>51</v>
      </c>
      <c r="BF35" s="73">
        <v>52</v>
      </c>
      <c r="BG35" s="73">
        <v>53</v>
      </c>
      <c r="BH35" s="73">
        <v>54</v>
      </c>
      <c r="BI35" s="73">
        <v>55</v>
      </c>
      <c r="BJ35" s="73">
        <v>56</v>
      </c>
      <c r="BK35" s="73">
        <v>57</v>
      </c>
      <c r="BL35" s="73">
        <v>58</v>
      </c>
      <c r="BM35" s="73">
        <v>59</v>
      </c>
      <c r="BN35" s="73">
        <v>60</v>
      </c>
      <c r="BO35" s="69"/>
      <c r="BP35" s="69"/>
      <c r="BQ35" s="73">
        <f>Technical!$B$28</f>
        <v>15</v>
      </c>
      <c r="BR35" s="74">
        <f>Costs!$B$9</f>
        <v>135.11552831562497</v>
      </c>
      <c r="BS35" s="75">
        <f>Costs!$B$20</f>
        <v>0.15734271405821329</v>
      </c>
      <c r="BT35" s="74">
        <f>Technical!$B$40+Technical!$B$41</f>
        <v>23.148148148148145</v>
      </c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69"/>
      <c r="CF35" s="69"/>
      <c r="CG35" s="69"/>
      <c r="CH35" s="69"/>
      <c r="CI35" s="69"/>
      <c r="CJ35" s="69"/>
      <c r="CK35" s="69"/>
      <c r="CL35" s="69"/>
      <c r="CM35" s="69"/>
      <c r="CN35" s="69"/>
      <c r="CO35" s="69"/>
      <c r="CP35" s="69"/>
      <c r="CQ35" s="69"/>
      <c r="CR35" s="69"/>
      <c r="CS35" s="69"/>
      <c r="CT35" s="69"/>
      <c r="CU35" s="69"/>
      <c r="CV35" s="69"/>
      <c r="CW35" s="69"/>
      <c r="CX35" s="69"/>
      <c r="CY35" s="69"/>
      <c r="CZ35" s="69"/>
      <c r="DA35" s="69"/>
      <c r="DB35" s="69"/>
      <c r="DC35" s="69"/>
      <c r="DD35" s="69"/>
      <c r="DE35" s="69"/>
      <c r="DF35" s="69"/>
      <c r="DG35" s="69"/>
      <c r="DH35" s="69"/>
      <c r="DI35" s="69"/>
      <c r="DJ35" s="69"/>
      <c r="DK35" s="69"/>
      <c r="DL35" s="69"/>
      <c r="DM35" s="69"/>
      <c r="DN35" s="69"/>
      <c r="DO35" s="69"/>
      <c r="DP35" s="69"/>
      <c r="DQ35" s="69"/>
      <c r="DR35" s="69"/>
      <c r="DS35" s="69"/>
      <c r="DT35" s="69"/>
      <c r="DU35" s="69"/>
      <c r="DV35" s="69"/>
      <c r="DW35" s="69"/>
      <c r="DX35" s="69"/>
      <c r="DY35" s="69"/>
    </row>
    <row r="36" spans="1:129" x14ac:dyDescent="0.2">
      <c r="A36" s="80" t="str">
        <f t="shared" ref="A36:A48" si="0">A20</f>
        <v>1 Base case</v>
      </c>
      <c r="B36" s="65">
        <f t="shared" ref="B36:B48" si="1">INDEX($K$35:$BN$35,$H36)-INDEX($K36:$BN36,$H36)*(INDEX($K$35:$BN$35,$H36+1)-INDEX($K$35:$BN$35,$H36))/(INDEX($K36:$BN36,$H36+1)-INDEX($K36:$BN36,$H36))</f>
        <v>27.653366990658895</v>
      </c>
      <c r="C36" s="84">
        <f t="shared" ref="C36:C48" si="2">B36-$B$36</f>
        <v>0</v>
      </c>
      <c r="D36" s="114">
        <f>B36*Technical!$B$34*12/10^6/Results!$B$30</f>
        <v>0.26616365728509189</v>
      </c>
      <c r="E36" s="87">
        <f t="shared" ref="E36:E48" si="3">BQ36</f>
        <v>15</v>
      </c>
      <c r="F36" s="85">
        <f t="shared" ref="F36:F48" si="4">BR36</f>
        <v>135.11552831562497</v>
      </c>
      <c r="G36" s="104">
        <f t="shared" ref="G36:G48" si="5">BS36</f>
        <v>0.15734271405821329</v>
      </c>
      <c r="H36" s="87">
        <f t="shared" ref="H36:H48" si="6">MATCH(0,$K36:$BN36,1)</f>
        <v>23</v>
      </c>
      <c r="I36" s="69"/>
      <c r="J36" s="73">
        <v>1</v>
      </c>
      <c r="K36" s="69">
        <f t="dataTable" ref="K36:BN48" dt2D="1" dtr="1" r1="B7" r2="B6" ca="1"/>
        <v>-106.32288819594457</v>
      </c>
      <c r="L36" s="69">
        <v>-101.53852054404939</v>
      </c>
      <c r="M36" s="69">
        <v>-96.744830781211647</v>
      </c>
      <c r="N36" s="69">
        <v>-91.936015793496409</v>
      </c>
      <c r="O36" s="69">
        <v>-87.142337877591658</v>
      </c>
      <c r="P36" s="69">
        <v>-82.346999494705187</v>
      </c>
      <c r="Q36" s="69">
        <v>-77.533061100233567</v>
      </c>
      <c r="R36" s="69">
        <v>-72.702558189369881</v>
      </c>
      <c r="S36" s="69">
        <v>-67.857239703994225</v>
      </c>
      <c r="T36" s="69">
        <v>-62.998616743872901</v>
      </c>
      <c r="U36" s="69">
        <v>-58.128001668071541</v>
      </c>
      <c r="V36" s="69">
        <v>-53.246539727969221</v>
      </c>
      <c r="W36" s="69">
        <v>-48.355234844746235</v>
      </c>
      <c r="X36" s="69">
        <v>-43.454970758055246</v>
      </c>
      <c r="Y36" s="69">
        <v>-38.546528487417334</v>
      </c>
      <c r="Z36" s="69">
        <v>-33.63060083518662</v>
      </c>
      <c r="AA36" s="69">
        <v>-30.395545992294558</v>
      </c>
      <c r="AB36" s="69">
        <v>-25.775716942790595</v>
      </c>
      <c r="AC36" s="69">
        <v>-21.007549562641074</v>
      </c>
      <c r="AD36" s="69">
        <v>-16.317967724074506</v>
      </c>
      <c r="AE36" s="69">
        <v>-11.824287689226921</v>
      </c>
      <c r="AF36" s="69">
        <v>-7.3570997624547232</v>
      </c>
      <c r="AG36" s="69">
        <v>-2.9028181859049766</v>
      </c>
      <c r="AH36" s="69">
        <v>1.5400419943707391</v>
      </c>
      <c r="AI36" s="69">
        <v>5.9608630530354816</v>
      </c>
      <c r="AJ36" s="69">
        <v>10.377744498788019</v>
      </c>
      <c r="AK36" s="69">
        <v>14.774203942813415</v>
      </c>
      <c r="AL36" s="69">
        <v>19.163764085755759</v>
      </c>
      <c r="AM36" s="69">
        <v>23.549643274696436</v>
      </c>
      <c r="AN36" s="69">
        <v>27.91085725597253</v>
      </c>
      <c r="AO36" s="69">
        <v>32.269025202709415</v>
      </c>
      <c r="AP36" s="69">
        <v>36.621106522281522</v>
      </c>
      <c r="AQ36" s="69">
        <v>40.9454008097117</v>
      </c>
      <c r="AR36" s="69">
        <v>45.271834916190002</v>
      </c>
      <c r="AS36" s="69">
        <v>49.60029086625282</v>
      </c>
      <c r="AT36" s="69">
        <v>53.927991852765686</v>
      </c>
      <c r="AU36" s="69">
        <v>58.228362085304212</v>
      </c>
      <c r="AV36" s="69">
        <v>62.530474100289339</v>
      </c>
      <c r="AW36" s="69">
        <v>66.834238443264567</v>
      </c>
      <c r="AX36" s="69">
        <v>71.139571682274266</v>
      </c>
      <c r="AY36" s="69">
        <v>75.446094548250414</v>
      </c>
      <c r="AZ36" s="69">
        <v>79.723338594049295</v>
      </c>
      <c r="BA36" s="69">
        <v>84.001952977641324</v>
      </c>
      <c r="BB36" s="69">
        <v>88.281872870342113</v>
      </c>
      <c r="BC36" s="69">
        <v>92.563037469249849</v>
      </c>
      <c r="BD36" s="69">
        <v>96.845389689527721</v>
      </c>
      <c r="BE36" s="69">
        <v>101.12887588448577</v>
      </c>
      <c r="BF36" s="69">
        <v>105.40416688154525</v>
      </c>
      <c r="BG36" s="69">
        <v>109.66006394225511</v>
      </c>
      <c r="BH36" s="69">
        <v>113.91696697160131</v>
      </c>
      <c r="BI36" s="69">
        <v>118.17483310981727</v>
      </c>
      <c r="BJ36" s="69">
        <v>122.43362189779</v>
      </c>
      <c r="BK36" s="69">
        <v>126.69329511130019</v>
      </c>
      <c r="BL36" s="69">
        <v>130.94962374053904</v>
      </c>
      <c r="BM36" s="69">
        <v>135.18017292866693</v>
      </c>
      <c r="BN36" s="69">
        <v>139.41151617081013</v>
      </c>
      <c r="BO36" s="69"/>
      <c r="BP36" s="73">
        <v>1</v>
      </c>
      <c r="BQ36" s="69">
        <f t="dataTable" ref="BQ36:BT48" dt2D="0" dtr="0" r1="B6" ca="1"/>
        <v>15</v>
      </c>
      <c r="BR36" s="69">
        <v>135.11552831562497</v>
      </c>
      <c r="BS36" s="69">
        <v>0.15734271405821329</v>
      </c>
      <c r="BT36" s="69">
        <v>23.148148148148145</v>
      </c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69"/>
      <c r="CI36" s="69"/>
      <c r="CJ36" s="69"/>
      <c r="CK36" s="69"/>
      <c r="CL36" s="69"/>
      <c r="CM36" s="69"/>
      <c r="CN36" s="69"/>
      <c r="CO36" s="69"/>
      <c r="CP36" s="69"/>
      <c r="CQ36" s="69"/>
      <c r="CR36" s="69"/>
      <c r="CS36" s="69"/>
      <c r="CT36" s="69"/>
      <c r="CU36" s="69"/>
      <c r="CV36" s="69"/>
      <c r="CW36" s="69"/>
      <c r="CX36" s="69"/>
      <c r="CY36" s="69"/>
      <c r="CZ36" s="69"/>
      <c r="DA36" s="69"/>
      <c r="DB36" s="69"/>
      <c r="DC36" s="69"/>
      <c r="DD36" s="69"/>
      <c r="DE36" s="69"/>
      <c r="DF36" s="69"/>
      <c r="DG36" s="69"/>
      <c r="DH36" s="69"/>
      <c r="DI36" s="69"/>
      <c r="DJ36" s="69"/>
      <c r="DK36" s="69"/>
      <c r="DL36" s="69"/>
      <c r="DM36" s="69"/>
      <c r="DN36" s="69"/>
      <c r="DO36" s="69"/>
      <c r="DP36" s="69"/>
      <c r="DQ36" s="69"/>
      <c r="DR36" s="69"/>
      <c r="DS36" s="69"/>
      <c r="DT36" s="69"/>
      <c r="DU36" s="69"/>
      <c r="DV36" s="69"/>
      <c r="DW36" s="69"/>
      <c r="DX36" s="69"/>
      <c r="DY36" s="69"/>
    </row>
    <row r="37" spans="1:129" x14ac:dyDescent="0.2">
      <c r="A37" s="80" t="str">
        <f t="shared" si="0"/>
        <v>2 Installed cost: NREL 2028 low</v>
      </c>
      <c r="B37" s="65">
        <f t="shared" si="1"/>
        <v>20.221835964903626</v>
      </c>
      <c r="C37" s="84">
        <f t="shared" si="2"/>
        <v>-7.4315310257552696</v>
      </c>
      <c r="D37" s="114">
        <f>B37*Technical!$B$34*12/10^6/Results!$B$30</f>
        <v>0.19463517116219742</v>
      </c>
      <c r="E37" s="87">
        <f t="shared" si="3"/>
        <v>15</v>
      </c>
      <c r="F37" s="85">
        <f t="shared" si="4"/>
        <v>105.94285742929685</v>
      </c>
      <c r="G37" s="104">
        <f t="shared" si="5"/>
        <v>0.15734271405821329</v>
      </c>
      <c r="H37" s="87">
        <f t="shared" si="6"/>
        <v>16</v>
      </c>
      <c r="I37" s="69"/>
      <c r="J37" s="73">
        <v>2</v>
      </c>
      <c r="K37" s="69">
        <v>-70.0027930937176</v>
      </c>
      <c r="L37" s="69">
        <v>-65.260408948786392</v>
      </c>
      <c r="M37" s="69">
        <v>-60.49138015075799</v>
      </c>
      <c r="N37" s="69">
        <v>-55.699120712087954</v>
      </c>
      <c r="O37" s="69">
        <v>-50.886485280400187</v>
      </c>
      <c r="P37" s="69">
        <v>-46.055879191208795</v>
      </c>
      <c r="Q37" s="69">
        <v>-41.209343521435322</v>
      </c>
      <c r="R37" s="69">
        <v>-36.348621527236077</v>
      </c>
      <c r="S37" s="69">
        <v>-31.475211052334643</v>
      </c>
      <c r="T37" s="69">
        <v>-26.5904062456828</v>
      </c>
      <c r="U37" s="69">
        <v>-23.513578406046165</v>
      </c>
      <c r="V37" s="69">
        <v>-18.816274525486975</v>
      </c>
      <c r="W37" s="69">
        <v>-14.163756199127661</v>
      </c>
      <c r="X37" s="69">
        <v>-9.7428063294238285</v>
      </c>
      <c r="Y37" s="69">
        <v>-5.3422760127074724</v>
      </c>
      <c r="Z37" s="69">
        <v>-0.96678912833240815</v>
      </c>
      <c r="AA37" s="69">
        <v>3.3913370607750508</v>
      </c>
      <c r="AB37" s="69">
        <v>8.4340368537322234</v>
      </c>
      <c r="AC37" s="69">
        <v>12.802556828966637</v>
      </c>
      <c r="AD37" s="69">
        <v>17.165755841186026</v>
      </c>
      <c r="AE37" s="69">
        <v>21.5085833579584</v>
      </c>
      <c r="AF37" s="69">
        <v>25.844066007292795</v>
      </c>
      <c r="AG37" s="69">
        <v>30.15421957111284</v>
      </c>
      <c r="AH37" s="69">
        <v>34.464033830105123</v>
      </c>
      <c r="AI37" s="69">
        <v>38.777073578833239</v>
      </c>
      <c r="AJ37" s="69">
        <v>43.066965693527763</v>
      </c>
      <c r="AK37" s="69">
        <v>47.353827381164606</v>
      </c>
      <c r="AL37" s="69">
        <v>51.643368029902391</v>
      </c>
      <c r="AM37" s="69">
        <v>55.935421634714899</v>
      </c>
      <c r="AN37" s="69">
        <v>60.201455308630742</v>
      </c>
      <c r="AO37" s="69">
        <v>64.466915914321675</v>
      </c>
      <c r="AP37" s="69">
        <v>68.734498423068572</v>
      </c>
      <c r="AQ37" s="69">
        <v>73.004081383147522</v>
      </c>
      <c r="AR37" s="69">
        <v>77.275552438043988</v>
      </c>
      <c r="AS37" s="69">
        <v>81.526706685015938</v>
      </c>
      <c r="AT37" s="69">
        <v>85.771781880784161</v>
      </c>
      <c r="AU37" s="69">
        <v>90.018478524214217</v>
      </c>
      <c r="AV37" s="69">
        <v>94.266711890572026</v>
      </c>
      <c r="AW37" s="69">
        <v>98.515057731698846</v>
      </c>
      <c r="AX37" s="69">
        <v>102.73757505513041</v>
      </c>
      <c r="AY37" s="69">
        <v>106.9422942313067</v>
      </c>
      <c r="AZ37" s="69">
        <v>111.1339564813116</v>
      </c>
      <c r="BA37" s="69">
        <v>115.32685018248097</v>
      </c>
      <c r="BB37" s="69">
        <v>119.52091707665444</v>
      </c>
      <c r="BC37" s="69">
        <v>123.70730481265585</v>
      </c>
      <c r="BD37" s="69">
        <v>127.88586036757124</v>
      </c>
      <c r="BE37" s="69">
        <v>132.06544390216658</v>
      </c>
      <c r="BF37" s="69">
        <v>136.24600966982823</v>
      </c>
      <c r="BG37" s="69">
        <v>140.42751459865576</v>
      </c>
      <c r="BH37" s="69">
        <v>144.6099180987963</v>
      </c>
      <c r="BI37" s="69">
        <v>148.79318188619672</v>
      </c>
      <c r="BJ37" s="69">
        <v>152.97726982116339</v>
      </c>
      <c r="BK37" s="69">
        <v>157.16214776029884</v>
      </c>
      <c r="BL37" s="69">
        <v>161.3477834205392</v>
      </c>
      <c r="BM37" s="69">
        <v>165.53414625415471</v>
      </c>
      <c r="BN37" s="69">
        <v>169.71493100547394</v>
      </c>
      <c r="BO37" s="69"/>
      <c r="BP37" s="73">
        <v>2</v>
      </c>
      <c r="BQ37" s="69">
        <v>15</v>
      </c>
      <c r="BR37" s="69">
        <v>105.94285742929685</v>
      </c>
      <c r="BS37" s="69">
        <v>0.15734271405821329</v>
      </c>
      <c r="BT37" s="69">
        <v>23.148148148148145</v>
      </c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  <c r="CG37" s="69"/>
      <c r="CH37" s="69"/>
      <c r="CI37" s="69"/>
      <c r="CJ37" s="69"/>
      <c r="CK37" s="69"/>
      <c r="CL37" s="69"/>
      <c r="CM37" s="69"/>
      <c r="CN37" s="69"/>
      <c r="CO37" s="69"/>
      <c r="CP37" s="69"/>
      <c r="CQ37" s="69"/>
      <c r="CR37" s="69"/>
      <c r="CS37" s="69"/>
      <c r="CT37" s="69"/>
      <c r="CU37" s="69"/>
      <c r="CV37" s="69"/>
      <c r="CW37" s="69"/>
      <c r="CX37" s="69"/>
      <c r="CY37" s="69"/>
      <c r="CZ37" s="69"/>
      <c r="DA37" s="69"/>
      <c r="DB37" s="69"/>
      <c r="DC37" s="69"/>
      <c r="DD37" s="69"/>
      <c r="DE37" s="69"/>
      <c r="DF37" s="69"/>
      <c r="DG37" s="69"/>
      <c r="DH37" s="69"/>
      <c r="DI37" s="69"/>
      <c r="DJ37" s="69"/>
      <c r="DK37" s="69"/>
      <c r="DL37" s="69"/>
      <c r="DM37" s="69"/>
      <c r="DN37" s="69"/>
      <c r="DO37" s="69"/>
      <c r="DP37" s="69"/>
      <c r="DQ37" s="69"/>
      <c r="DR37" s="69"/>
      <c r="DS37" s="69"/>
      <c r="DT37" s="69"/>
      <c r="DU37" s="69"/>
      <c r="DV37" s="69"/>
      <c r="DW37" s="69"/>
      <c r="DX37" s="69"/>
      <c r="DY37" s="69"/>
    </row>
    <row r="38" spans="1:129" x14ac:dyDescent="0.2">
      <c r="A38" s="80" t="str">
        <f t="shared" si="0"/>
        <v>3 Installed cost: NREL 2028 high</v>
      </c>
      <c r="B38" s="65">
        <f t="shared" si="1"/>
        <v>35.615813960765742</v>
      </c>
      <c r="C38" s="84">
        <f t="shared" si="2"/>
        <v>7.9624469701068463</v>
      </c>
      <c r="D38" s="114">
        <f>B38*Technical!$B$34*12/10^6/Results!$B$30</f>
        <v>0.34280220937237027</v>
      </c>
      <c r="E38" s="87">
        <f t="shared" si="3"/>
        <v>15</v>
      </c>
      <c r="F38" s="85">
        <f t="shared" si="4"/>
        <v>165.82360293281246</v>
      </c>
      <c r="G38" s="104">
        <f t="shared" si="5"/>
        <v>0.15734271405821329</v>
      </c>
      <c r="H38" s="87">
        <f t="shared" si="6"/>
        <v>31</v>
      </c>
      <c r="I38" s="69"/>
      <c r="J38" s="73">
        <v>3</v>
      </c>
      <c r="K38" s="69">
        <v>-144.66080251846046</v>
      </c>
      <c r="L38" s="69">
        <v>-139.91692035185889</v>
      </c>
      <c r="M38" s="69">
        <v>-135.13605097872667</v>
      </c>
      <c r="N38" s="69">
        <v>-130.32463124864802</v>
      </c>
      <c r="O38" s="69">
        <v>-125.49798352352956</v>
      </c>
      <c r="P38" s="69">
        <v>-120.66505579546853</v>
      </c>
      <c r="Q38" s="69">
        <v>-115.82147117686233</v>
      </c>
      <c r="R38" s="69">
        <v>-110.97007202781379</v>
      </c>
      <c r="S38" s="69">
        <v>-106.15411196889903</v>
      </c>
      <c r="T38" s="69">
        <v>-101.32304884723092</v>
      </c>
      <c r="U38" s="69">
        <v>-96.478181267066788</v>
      </c>
      <c r="V38" s="69">
        <v>-91.620827559179261</v>
      </c>
      <c r="W38" s="69">
        <v>-86.752143365211339</v>
      </c>
      <c r="X38" s="69">
        <v>-81.873145982500787</v>
      </c>
      <c r="Y38" s="69">
        <v>-76.984734464379954</v>
      </c>
      <c r="Z38" s="69">
        <v>-72.087706314942125</v>
      </c>
      <c r="AA38" s="69">
        <v>-67.182771432944506</v>
      </c>
      <c r="AB38" s="69">
        <v>-61.713709419137899</v>
      </c>
      <c r="AC38" s="69">
        <v>-56.735941195036403</v>
      </c>
      <c r="AD38" s="69">
        <v>-51.75158045297357</v>
      </c>
      <c r="AE38" s="69">
        <v>-46.761116572907667</v>
      </c>
      <c r="AF38" s="69">
        <v>-41.764991667115382</v>
      </c>
      <c r="AG38" s="69">
        <v>-37.172699423361195</v>
      </c>
      <c r="AH38" s="69">
        <v>-35.07613508715572</v>
      </c>
      <c r="AI38" s="69">
        <v>-30.295353027407998</v>
      </c>
      <c r="AJ38" s="69">
        <v>-25.511213735641334</v>
      </c>
      <c r="AK38" s="69">
        <v>-20.723934211164433</v>
      </c>
      <c r="AL38" s="69">
        <v>-16.200637226021826</v>
      </c>
      <c r="AM38" s="69">
        <v>-11.699509576664369</v>
      </c>
      <c r="AN38" s="69">
        <v>-7.2156998505624586</v>
      </c>
      <c r="AO38" s="69">
        <v>-2.7447936890881408</v>
      </c>
      <c r="AP38" s="69">
        <v>1.7123863424835406</v>
      </c>
      <c r="AQ38" s="69">
        <v>6.1620413881500156</v>
      </c>
      <c r="AR38" s="69">
        <v>10.591329176828197</v>
      </c>
      <c r="AS38" s="69">
        <v>15.022832858383381</v>
      </c>
      <c r="AT38" s="69">
        <v>19.432587241448672</v>
      </c>
      <c r="AU38" s="69">
        <v>23.834962751783607</v>
      </c>
      <c r="AV38" s="69">
        <v>28.239245740349176</v>
      </c>
      <c r="AW38" s="69">
        <v>32.625510281708003</v>
      </c>
      <c r="AX38" s="69">
        <v>36.999752917717302</v>
      </c>
      <c r="AY38" s="69">
        <v>41.370865837988518</v>
      </c>
      <c r="AZ38" s="69">
        <v>45.7366165221232</v>
      </c>
      <c r="BA38" s="69">
        <v>50.081124458158484</v>
      </c>
      <c r="BB38" s="69">
        <v>54.417776289956493</v>
      </c>
      <c r="BC38" s="69">
        <v>58.755818826052561</v>
      </c>
      <c r="BD38" s="69">
        <v>63.095188285831199</v>
      </c>
      <c r="BE38" s="69">
        <v>67.435824730102055</v>
      </c>
      <c r="BF38" s="69">
        <v>71.753678751098192</v>
      </c>
      <c r="BG38" s="69">
        <v>76.065036708863985</v>
      </c>
      <c r="BH38" s="69">
        <v>80.377518747279481</v>
      </c>
      <c r="BI38" s="69">
        <v>84.691076974360342</v>
      </c>
      <c r="BJ38" s="69">
        <v>89.005666180639437</v>
      </c>
      <c r="BK38" s="69">
        <v>93.321243653944776</v>
      </c>
      <c r="BL38" s="69">
        <v>97.623753508681673</v>
      </c>
      <c r="BM38" s="69">
        <v>101.91032876096745</v>
      </c>
      <c r="BN38" s="69">
        <v>106.19779066036365</v>
      </c>
      <c r="BO38" s="69"/>
      <c r="BP38" s="73">
        <v>3</v>
      </c>
      <c r="BQ38" s="69">
        <v>15</v>
      </c>
      <c r="BR38" s="69">
        <v>165.82360293281246</v>
      </c>
      <c r="BS38" s="69">
        <v>0.15734271405821329</v>
      </c>
      <c r="BT38" s="69">
        <v>23.148148148148145</v>
      </c>
      <c r="BU38" s="69"/>
      <c r="BV38" s="69"/>
      <c r="BW38" s="69"/>
      <c r="BX38" s="69"/>
      <c r="BY38" s="69"/>
      <c r="BZ38" s="69"/>
      <c r="CA38" s="69"/>
      <c r="CB38" s="69"/>
      <c r="CC38" s="69"/>
      <c r="CD38" s="69"/>
      <c r="CE38" s="69"/>
      <c r="CF38" s="69"/>
      <c r="CG38" s="69"/>
      <c r="CH38" s="69"/>
      <c r="CI38" s="69"/>
      <c r="CJ38" s="69"/>
      <c r="CK38" s="69"/>
      <c r="CL38" s="69"/>
      <c r="CM38" s="69"/>
      <c r="CN38" s="69"/>
      <c r="CO38" s="69"/>
      <c r="CP38" s="69"/>
      <c r="CQ38" s="69"/>
      <c r="CR38" s="69"/>
      <c r="CS38" s="69"/>
      <c r="CT38" s="69"/>
      <c r="CU38" s="69"/>
      <c r="CV38" s="69"/>
      <c r="CW38" s="69"/>
      <c r="CX38" s="69"/>
      <c r="CY38" s="69"/>
      <c r="CZ38" s="69"/>
      <c r="DA38" s="69"/>
      <c r="DB38" s="69"/>
      <c r="DC38" s="69"/>
      <c r="DD38" s="69"/>
      <c r="DE38" s="69"/>
      <c r="DF38" s="69"/>
      <c r="DG38" s="69"/>
      <c r="DH38" s="69"/>
      <c r="DI38" s="69"/>
      <c r="DJ38" s="69"/>
      <c r="DK38" s="69"/>
      <c r="DL38" s="69"/>
      <c r="DM38" s="69"/>
      <c r="DN38" s="69"/>
      <c r="DO38" s="69"/>
      <c r="DP38" s="69"/>
      <c r="DQ38" s="69"/>
      <c r="DR38" s="69"/>
      <c r="DS38" s="69"/>
      <c r="DT38" s="69"/>
      <c r="DU38" s="69"/>
      <c r="DV38" s="69"/>
      <c r="DW38" s="69"/>
      <c r="DX38" s="69"/>
      <c r="DY38" s="69"/>
    </row>
    <row r="39" spans="1:129" x14ac:dyDescent="0.2">
      <c r="A39" s="80" t="str">
        <f t="shared" si="0"/>
        <v>4 Capacity price: 2029/30 floor</v>
      </c>
      <c r="B39" s="65">
        <f t="shared" si="1"/>
        <v>31.171160741951113</v>
      </c>
      <c r="C39" s="84">
        <f t="shared" si="2"/>
        <v>3.5177937512922171</v>
      </c>
      <c r="D39" s="114">
        <f>B39*Technical!$B$34*12/10^6/Results!$B$30</f>
        <v>0.30002242214127944</v>
      </c>
      <c r="E39" s="87">
        <f t="shared" si="3"/>
        <v>15</v>
      </c>
      <c r="F39" s="85">
        <f t="shared" si="4"/>
        <v>135.11552831562497</v>
      </c>
      <c r="G39" s="104">
        <f t="shared" si="5"/>
        <v>0.15734271405821329</v>
      </c>
      <c r="H39" s="87">
        <f t="shared" si="6"/>
        <v>27</v>
      </c>
      <c r="I39" s="69"/>
      <c r="J39" s="73">
        <v>4</v>
      </c>
      <c r="K39" s="69">
        <v>-124.94587064232994</v>
      </c>
      <c r="L39" s="69">
        <v>-120.16659063758708</v>
      </c>
      <c r="M39" s="69">
        <v>-115.33775282231522</v>
      </c>
      <c r="N39" s="69">
        <v>-110.46847846528976</v>
      </c>
      <c r="O39" s="69">
        <v>-105.57092269460709</v>
      </c>
      <c r="P39" s="69">
        <v>-100.66433832025479</v>
      </c>
      <c r="Q39" s="69">
        <v>-95.750519055055392</v>
      </c>
      <c r="R39" s="69">
        <v>-90.830583778699321</v>
      </c>
      <c r="S39" s="69">
        <v>-85.894732935379579</v>
      </c>
      <c r="T39" s="69">
        <v>-80.943470683210265</v>
      </c>
      <c r="U39" s="69">
        <v>-75.978781354099908</v>
      </c>
      <c r="V39" s="69">
        <v>-71.002322636170845</v>
      </c>
      <c r="W39" s="69">
        <v>-66.015490128776449</v>
      </c>
      <c r="X39" s="69">
        <v>-61.019467169937961</v>
      </c>
      <c r="Y39" s="69">
        <v>-56.01526371255386</v>
      </c>
      <c r="Z39" s="69">
        <v>-51.003746958199343</v>
      </c>
      <c r="AA39" s="69">
        <v>-45.985665717716543</v>
      </c>
      <c r="AB39" s="69">
        <v>-40.961669947868884</v>
      </c>
      <c r="AC39" s="69">
        <v>-35.932326542907212</v>
      </c>
      <c r="AD39" s="69">
        <v>-30.898132192685608</v>
      </c>
      <c r="AE39" s="69">
        <v>-28.693143414960588</v>
      </c>
      <c r="AF39" s="69">
        <v>-23.88733773012568</v>
      </c>
      <c r="AG39" s="69">
        <v>-19.078630701983741</v>
      </c>
      <c r="AH39" s="69">
        <v>-14.314508246900246</v>
      </c>
      <c r="AI39" s="69">
        <v>-9.7794344075119852</v>
      </c>
      <c r="AJ39" s="69">
        <v>-5.2673542163225306</v>
      </c>
      <c r="AK39" s="69">
        <v>-0.76673036219433754</v>
      </c>
      <c r="AL39" s="69">
        <v>3.7128620575051343</v>
      </c>
      <c r="AM39" s="69">
        <v>8.1802615955991342</v>
      </c>
      <c r="AN39" s="69">
        <v>12.631392569312027</v>
      </c>
      <c r="AO39" s="69">
        <v>17.07520382555397</v>
      </c>
      <c r="AP39" s="69">
        <v>21.496826866287137</v>
      </c>
      <c r="AQ39" s="69">
        <v>25.920017688194633</v>
      </c>
      <c r="AR39" s="69">
        <v>30.322229775482796</v>
      </c>
      <c r="AS39" s="69">
        <v>34.714963993570152</v>
      </c>
      <c r="AT39" s="69">
        <v>39.099624516354439</v>
      </c>
      <c r="AU39" s="69">
        <v>43.468878519781597</v>
      </c>
      <c r="AV39" s="69">
        <v>47.821874109651887</v>
      </c>
      <c r="AW39" s="69">
        <v>52.175978724893739</v>
      </c>
      <c r="AX39" s="69">
        <v>56.531128749851604</v>
      </c>
      <c r="AY39" s="69">
        <v>62.38658343013023</v>
      </c>
      <c r="AZ39" s="69">
        <v>66.759825031792388</v>
      </c>
      <c r="BA39" s="69">
        <v>71.13400230749987</v>
      </c>
      <c r="BB39" s="69">
        <v>75.509065398639976</v>
      </c>
      <c r="BC39" s="69">
        <v>79.884967927153014</v>
      </c>
      <c r="BD39" s="69">
        <v>84.24540701001709</v>
      </c>
      <c r="BE39" s="69">
        <v>88.591834827459081</v>
      </c>
      <c r="BF39" s="69">
        <v>92.938991116447298</v>
      </c>
      <c r="BG39" s="69">
        <v>97.286840225638556</v>
      </c>
      <c r="BH39" s="69">
        <v>101.63534879271342</v>
      </c>
      <c r="BI39" s="69">
        <v>105.984485563568</v>
      </c>
      <c r="BJ39" s="69">
        <v>110.33422122837666</v>
      </c>
      <c r="BK39" s="69">
        <v>114.66238238545328</v>
      </c>
      <c r="BL39" s="69">
        <v>118.98344037562275</v>
      </c>
      <c r="BM39" s="69">
        <v>123.30502683120969</v>
      </c>
      <c r="BN39" s="69">
        <v>127.62711853984908</v>
      </c>
      <c r="BO39" s="69"/>
      <c r="BP39" s="73">
        <v>4</v>
      </c>
      <c r="BQ39" s="69">
        <v>15</v>
      </c>
      <c r="BR39" s="69">
        <v>135.11552831562497</v>
      </c>
      <c r="BS39" s="69">
        <v>0.15734271405821329</v>
      </c>
      <c r="BT39" s="69">
        <v>23.148148148148145</v>
      </c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  <c r="CG39" s="69"/>
      <c r="CH39" s="69"/>
      <c r="CI39" s="69"/>
      <c r="CJ39" s="69"/>
      <c r="CK39" s="69"/>
      <c r="CL39" s="69"/>
      <c r="CM39" s="69"/>
      <c r="CN39" s="69"/>
      <c r="CO39" s="69"/>
      <c r="CP39" s="69"/>
      <c r="CQ39" s="69"/>
      <c r="CR39" s="69"/>
      <c r="CS39" s="69"/>
      <c r="CT39" s="69"/>
      <c r="CU39" s="69"/>
      <c r="CV39" s="69"/>
      <c r="CW39" s="69"/>
      <c r="CX39" s="69"/>
      <c r="CY39" s="69"/>
      <c r="CZ39" s="69"/>
      <c r="DA39" s="69"/>
      <c r="DB39" s="69"/>
      <c r="DC39" s="69"/>
      <c r="DD39" s="69"/>
      <c r="DE39" s="69"/>
      <c r="DF39" s="69"/>
      <c r="DG39" s="69"/>
      <c r="DH39" s="69"/>
      <c r="DI39" s="69"/>
      <c r="DJ39" s="69"/>
      <c r="DK39" s="69"/>
      <c r="DL39" s="69"/>
      <c r="DM39" s="69"/>
      <c r="DN39" s="69"/>
      <c r="DO39" s="69"/>
      <c r="DP39" s="69"/>
      <c r="DQ39" s="69"/>
      <c r="DR39" s="69"/>
      <c r="DS39" s="69"/>
      <c r="DT39" s="69"/>
      <c r="DU39" s="69"/>
      <c r="DV39" s="69"/>
      <c r="DW39" s="69"/>
      <c r="DX39" s="69"/>
      <c r="DY39" s="69"/>
    </row>
    <row r="40" spans="1:129" x14ac:dyDescent="0.2">
      <c r="A40" s="80" t="str">
        <f t="shared" si="0"/>
        <v>5 Capacity price: uncollared</v>
      </c>
      <c r="B40" s="65">
        <f t="shared" si="1"/>
        <v>22.873982780925409</v>
      </c>
      <c r="C40" s="84">
        <f t="shared" si="2"/>
        <v>-4.779384209733486</v>
      </c>
      <c r="D40" s="114">
        <f>B40*Technical!$B$34*12/10^6/Results!$B$30</f>
        <v>0.22016208426640707</v>
      </c>
      <c r="E40" s="87">
        <f t="shared" si="3"/>
        <v>15</v>
      </c>
      <c r="F40" s="85">
        <f t="shared" si="4"/>
        <v>135.11552831562497</v>
      </c>
      <c r="G40" s="104">
        <f t="shared" si="5"/>
        <v>0.15734271405821329</v>
      </c>
      <c r="H40" s="87">
        <f t="shared" si="6"/>
        <v>18</v>
      </c>
      <c r="I40" s="69"/>
      <c r="J40" s="73">
        <v>5</v>
      </c>
      <c r="K40" s="69">
        <v>-81.307203336434213</v>
      </c>
      <c r="L40" s="69">
        <v>-76.584716704766151</v>
      </c>
      <c r="M40" s="69">
        <v>-71.842514426664394</v>
      </c>
      <c r="N40" s="69">
        <v>-67.082372201241185</v>
      </c>
      <c r="O40" s="69">
        <v>-62.305858703919817</v>
      </c>
      <c r="P40" s="69">
        <v>-57.514364902345861</v>
      </c>
      <c r="Q40" s="69">
        <v>-52.709128527907822</v>
      </c>
      <c r="R40" s="69">
        <v>-47.891254611780141</v>
      </c>
      <c r="S40" s="69">
        <v>-43.061732804595955</v>
      </c>
      <c r="T40" s="69">
        <v>-38.221452052506962</v>
      </c>
      <c r="U40" s="69">
        <v>-33.374030389570379</v>
      </c>
      <c r="V40" s="69">
        <v>-30.61771271854073</v>
      </c>
      <c r="W40" s="69">
        <v>-26.002690372861665</v>
      </c>
      <c r="X40" s="69">
        <v>-21.327695332850524</v>
      </c>
      <c r="Y40" s="69">
        <v>-16.885748527180354</v>
      </c>
      <c r="Z40" s="69">
        <v>-12.504720176042952</v>
      </c>
      <c r="AA40" s="69">
        <v>-8.1365084699496464</v>
      </c>
      <c r="AB40" s="69">
        <v>-3.7888450579221882</v>
      </c>
      <c r="AC40" s="69">
        <v>0.54630334615781351</v>
      </c>
      <c r="AD40" s="69">
        <v>4.870749844721189</v>
      </c>
      <c r="AE40" s="69">
        <v>9.181332171686023</v>
      </c>
      <c r="AF40" s="69">
        <v>13.480984470539667</v>
      </c>
      <c r="AG40" s="69">
        <v>17.780759866488467</v>
      </c>
      <c r="AH40" s="69">
        <v>22.054389994858383</v>
      </c>
      <c r="AI40" s="69">
        <v>26.325258636531913</v>
      </c>
      <c r="AJ40" s="69">
        <v>30.591467478239309</v>
      </c>
      <c r="AK40" s="69">
        <v>34.83140457306888</v>
      </c>
      <c r="AL40" s="69">
        <v>39.074607394578749</v>
      </c>
      <c r="AM40" s="69">
        <v>43.320907921310337</v>
      </c>
      <c r="AN40" s="69">
        <v>47.562943196406209</v>
      </c>
      <c r="AO40" s="69">
        <v>51.782947217234437</v>
      </c>
      <c r="AP40" s="69">
        <v>57.298401525399058</v>
      </c>
      <c r="AQ40" s="69">
        <v>61.567630586434078</v>
      </c>
      <c r="AR40" s="69">
        <v>65.839423009744365</v>
      </c>
      <c r="AS40" s="69">
        <v>70.093826204119409</v>
      </c>
      <c r="AT40" s="69">
        <v>74.338918153333069</v>
      </c>
      <c r="AU40" s="69">
        <v>78.586269698325552</v>
      </c>
      <c r="AV40" s="69">
        <v>82.83578012779131</v>
      </c>
      <c r="AW40" s="69">
        <v>87.087354627812246</v>
      </c>
      <c r="AX40" s="69">
        <v>91.340903856416318</v>
      </c>
      <c r="AY40" s="69">
        <v>95.591141923854764</v>
      </c>
      <c r="AZ40" s="69">
        <v>99.818262099697179</v>
      </c>
      <c r="BA40" s="69">
        <v>104.0471439012186</v>
      </c>
      <c r="BB40" s="69">
        <v>108.27771523809145</v>
      </c>
      <c r="BC40" s="69">
        <v>112.50990790055327</v>
      </c>
      <c r="BD40" s="69">
        <v>116.74365730176446</v>
      </c>
      <c r="BE40" s="69">
        <v>120.97260260342357</v>
      </c>
      <c r="BF40" s="69">
        <v>125.17810904194654</v>
      </c>
      <c r="BG40" s="69">
        <v>129.35684543014173</v>
      </c>
      <c r="BH40" s="69">
        <v>133.5337774817755</v>
      </c>
      <c r="BI40" s="69">
        <v>137.71203341284888</v>
      </c>
      <c r="BJ40" s="69">
        <v>141.89156437718947</v>
      </c>
      <c r="BK40" s="69">
        <v>146.07232390241694</v>
      </c>
      <c r="BL40" s="69">
        <v>150.25028831829468</v>
      </c>
      <c r="BM40" s="69">
        <v>154.41556174069416</v>
      </c>
      <c r="BN40" s="69">
        <v>158.58194683801548</v>
      </c>
      <c r="BO40" s="69"/>
      <c r="BP40" s="73">
        <v>5</v>
      </c>
      <c r="BQ40" s="69">
        <v>15</v>
      </c>
      <c r="BR40" s="69">
        <v>135.11552831562497</v>
      </c>
      <c r="BS40" s="69">
        <v>0.15734271405821329</v>
      </c>
      <c r="BT40" s="69">
        <v>23.148148148148145</v>
      </c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  <c r="CG40" s="69"/>
      <c r="CH40" s="69"/>
      <c r="CI40" s="69"/>
      <c r="CJ40" s="69"/>
      <c r="CK40" s="69"/>
      <c r="CL40" s="69"/>
      <c r="CM40" s="69"/>
      <c r="CN40" s="69"/>
      <c r="CO40" s="69"/>
      <c r="CP40" s="69"/>
      <c r="CQ40" s="69"/>
      <c r="CR40" s="69"/>
      <c r="CS40" s="69"/>
      <c r="CT40" s="69"/>
      <c r="CU40" s="69"/>
      <c r="CV40" s="69"/>
      <c r="CW40" s="69"/>
      <c r="CX40" s="69"/>
      <c r="CY40" s="69"/>
      <c r="CZ40" s="69"/>
      <c r="DA40" s="69"/>
      <c r="DB40" s="69"/>
      <c r="DC40" s="69"/>
      <c r="DD40" s="69"/>
      <c r="DE40" s="69"/>
      <c r="DF40" s="69"/>
      <c r="DG40" s="69"/>
      <c r="DH40" s="69"/>
      <c r="DI40" s="69"/>
      <c r="DJ40" s="69"/>
      <c r="DK40" s="69"/>
      <c r="DL40" s="69"/>
      <c r="DM40" s="69"/>
      <c r="DN40" s="69"/>
      <c r="DO40" s="69"/>
      <c r="DP40" s="69"/>
      <c r="DQ40" s="69"/>
      <c r="DR40" s="69"/>
      <c r="DS40" s="69"/>
      <c r="DT40" s="69"/>
      <c r="DU40" s="69"/>
      <c r="DV40" s="69"/>
      <c r="DW40" s="69"/>
      <c r="DX40" s="69"/>
      <c r="DY40" s="69"/>
    </row>
    <row r="41" spans="1:129" x14ac:dyDescent="0.2">
      <c r="A41" s="80" t="str">
        <f t="shared" si="0"/>
        <v>6 Fixed O&amp;M: NREL literal</v>
      </c>
      <c r="B41" s="65">
        <f t="shared" si="1"/>
        <v>22.07405549908685</v>
      </c>
      <c r="C41" s="84">
        <f t="shared" si="2"/>
        <v>-5.5793114915720459</v>
      </c>
      <c r="D41" s="114">
        <f>B41*Technical!$B$34*12/10^6/Results!$B$30</f>
        <v>0.21246278417871095</v>
      </c>
      <c r="E41" s="87">
        <f t="shared" si="3"/>
        <v>15</v>
      </c>
      <c r="F41" s="85">
        <f t="shared" si="4"/>
        <v>135.11552831562497</v>
      </c>
      <c r="G41" s="104">
        <f t="shared" si="5"/>
        <v>0.15734271405821329</v>
      </c>
      <c r="H41" s="87">
        <f t="shared" si="6"/>
        <v>18</v>
      </c>
      <c r="I41" s="69"/>
      <c r="J41" s="73">
        <v>6</v>
      </c>
      <c r="K41" s="69">
        <v>-79.385401232276976</v>
      </c>
      <c r="L41" s="69">
        <v>-74.593814738035832</v>
      </c>
      <c r="M41" s="69">
        <v>-69.779974012811863</v>
      </c>
      <c r="N41" s="69">
        <v>-64.946730518828531</v>
      </c>
      <c r="O41" s="69">
        <v>-60.09646852385486</v>
      </c>
      <c r="P41" s="69">
        <v>-55.231197019786045</v>
      </c>
      <c r="Q41" s="69">
        <v>-50.35262076130963</v>
      </c>
      <c r="R41" s="69">
        <v>-45.462195756316746</v>
      </c>
      <c r="S41" s="69">
        <v>-40.561173038554259</v>
      </c>
      <c r="T41" s="69">
        <v>-35.650633511181169</v>
      </c>
      <c r="U41" s="69">
        <v>-31.413980293116353</v>
      </c>
      <c r="V41" s="69">
        <v>-28.428427058479983</v>
      </c>
      <c r="W41" s="69">
        <v>-23.707847397743578</v>
      </c>
      <c r="X41" s="69">
        <v>-18.982220264324255</v>
      </c>
      <c r="Y41" s="69">
        <v>-14.451960184762967</v>
      </c>
      <c r="Z41" s="69">
        <v>-10.007187701029366</v>
      </c>
      <c r="AA41" s="69">
        <v>-5.5794924549657026</v>
      </c>
      <c r="AB41" s="69">
        <v>-0.32950440316723473</v>
      </c>
      <c r="AC41" s="69">
        <v>4.119920787807601</v>
      </c>
      <c r="AD41" s="69">
        <v>8.5411424018264626</v>
      </c>
      <c r="AE41" s="69">
        <v>12.964873121244921</v>
      </c>
      <c r="AF41" s="69">
        <v>17.365687277897322</v>
      </c>
      <c r="AG41" s="69">
        <v>21.762263016561647</v>
      </c>
      <c r="AH41" s="69">
        <v>26.156515530332953</v>
      </c>
      <c r="AI41" s="69">
        <v>30.524827150717286</v>
      </c>
      <c r="AJ41" s="69">
        <v>34.893031852145072</v>
      </c>
      <c r="AK41" s="69">
        <v>39.254365427964075</v>
      </c>
      <c r="AL41" s="69">
        <v>43.58859250642638</v>
      </c>
      <c r="AM41" s="69">
        <v>47.922045197259081</v>
      </c>
      <c r="AN41" s="69">
        <v>52.257440240215871</v>
      </c>
      <c r="AO41" s="69">
        <v>56.594662050044832</v>
      </c>
      <c r="AP41" s="69">
        <v>60.908340496357695</v>
      </c>
      <c r="AQ41" s="69">
        <v>65.217221024777828</v>
      </c>
      <c r="AR41" s="69">
        <v>69.52765511612796</v>
      </c>
      <c r="AS41" s="69">
        <v>73.839557117227741</v>
      </c>
      <c r="AT41" s="69">
        <v>78.15284755773618</v>
      </c>
      <c r="AU41" s="69">
        <v>82.449289528319412</v>
      </c>
      <c r="AV41" s="69">
        <v>86.73425683689652</v>
      </c>
      <c r="AW41" s="69">
        <v>91.020423886136925</v>
      </c>
      <c r="AX41" s="69">
        <v>95.307730096839379</v>
      </c>
      <c r="AY41" s="69">
        <v>99.596118900774272</v>
      </c>
      <c r="AZ41" s="69">
        <v>103.88553741412903</v>
      </c>
      <c r="BA41" s="69">
        <v>108.17593614234595</v>
      </c>
      <c r="BB41" s="69">
        <v>112.44504075787124</v>
      </c>
      <c r="BC41" s="69">
        <v>116.7076534733702</v>
      </c>
      <c r="BD41" s="69">
        <v>120.97112834260594</v>
      </c>
      <c r="BE41" s="69">
        <v>125.23542642076374</v>
      </c>
      <c r="BF41" s="69">
        <v>129.50051107383121</v>
      </c>
      <c r="BG41" s="69">
        <v>133.76634554643601</v>
      </c>
      <c r="BH41" s="69">
        <v>138.01938499170615</v>
      </c>
      <c r="BI41" s="69">
        <v>142.25593722548072</v>
      </c>
      <c r="BJ41" s="69">
        <v>146.49315986891759</v>
      </c>
      <c r="BK41" s="69">
        <v>150.70844210561819</v>
      </c>
      <c r="BL41" s="69">
        <v>154.91613277691229</v>
      </c>
      <c r="BM41" s="69">
        <v>159.12442552082427</v>
      </c>
      <c r="BN41" s="69">
        <v>163.33329638649633</v>
      </c>
      <c r="BO41" s="69"/>
      <c r="BP41" s="73">
        <v>6</v>
      </c>
      <c r="BQ41" s="69">
        <v>15</v>
      </c>
      <c r="BR41" s="69">
        <v>135.11552831562497</v>
      </c>
      <c r="BS41" s="69">
        <v>0.15734271405821329</v>
      </c>
      <c r="BT41" s="69">
        <v>23.148148148148145</v>
      </c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69"/>
      <c r="CF41" s="69"/>
      <c r="CG41" s="69"/>
      <c r="CH41" s="69"/>
      <c r="CI41" s="69"/>
      <c r="CJ41" s="69"/>
      <c r="CK41" s="69"/>
      <c r="CL41" s="69"/>
      <c r="CM41" s="69"/>
      <c r="CN41" s="69"/>
      <c r="CO41" s="69"/>
      <c r="CP41" s="69"/>
      <c r="CQ41" s="69"/>
      <c r="CR41" s="69"/>
      <c r="CS41" s="69"/>
      <c r="CT41" s="69"/>
      <c r="CU41" s="69"/>
      <c r="CV41" s="69"/>
      <c r="CW41" s="69"/>
      <c r="CX41" s="69"/>
      <c r="CY41" s="69"/>
      <c r="CZ41" s="69"/>
      <c r="DA41" s="69"/>
      <c r="DB41" s="69"/>
      <c r="DC41" s="69"/>
      <c r="DD41" s="69"/>
      <c r="DE41" s="69"/>
      <c r="DF41" s="69"/>
      <c r="DG41" s="69"/>
      <c r="DH41" s="69"/>
      <c r="DI41" s="69"/>
      <c r="DJ41" s="69"/>
      <c r="DK41" s="69"/>
      <c r="DL41" s="69"/>
      <c r="DM41" s="69"/>
      <c r="DN41" s="69"/>
      <c r="DO41" s="69"/>
      <c r="DP41" s="69"/>
      <c r="DQ41" s="69"/>
      <c r="DR41" s="69"/>
      <c r="DS41" s="69"/>
      <c r="DT41" s="69"/>
      <c r="DU41" s="69"/>
      <c r="DV41" s="69"/>
      <c r="DW41" s="69"/>
      <c r="DX41" s="69"/>
      <c r="DY41" s="69"/>
    </row>
    <row r="42" spans="1:129" x14ac:dyDescent="0.2">
      <c r="A42" s="80" t="str">
        <f t="shared" si="0"/>
        <v>7 Duration 5 h</v>
      </c>
      <c r="B42" s="65">
        <f t="shared" si="1"/>
        <v>12.905835821870394</v>
      </c>
      <c r="C42" s="84">
        <f t="shared" si="2"/>
        <v>-14.747531168788502</v>
      </c>
      <c r="D42" s="114">
        <f>B42*Technical!$B$34*12/10^6/Results!$B$30</f>
        <v>0.12421866978550253</v>
      </c>
      <c r="E42" s="87">
        <f t="shared" si="3"/>
        <v>5</v>
      </c>
      <c r="F42" s="85">
        <f t="shared" si="4"/>
        <v>76.591368854687488</v>
      </c>
      <c r="G42" s="104">
        <f t="shared" si="5"/>
        <v>0.38051448262738624</v>
      </c>
      <c r="H42" s="87">
        <f t="shared" si="6"/>
        <v>8</v>
      </c>
      <c r="I42" s="69"/>
      <c r="J42" s="73">
        <v>7</v>
      </c>
      <c r="K42" s="69">
        <v>-35.448821375556662</v>
      </c>
      <c r="L42" s="69">
        <v>-30.661477020245329</v>
      </c>
      <c r="M42" s="69">
        <v>-25.851499899575614</v>
      </c>
      <c r="N42" s="69">
        <v>-21.021789977850183</v>
      </c>
      <c r="O42" s="69">
        <v>-17.368093439056388</v>
      </c>
      <c r="P42" s="69">
        <v>-12.71916346863879</v>
      </c>
      <c r="Q42" s="69">
        <v>-8.2790169702215763</v>
      </c>
      <c r="R42" s="69">
        <v>-3.9229676906582043</v>
      </c>
      <c r="S42" s="69">
        <v>0.4078035108581517</v>
      </c>
      <c r="T42" s="69">
        <v>4.7176980942045148</v>
      </c>
      <c r="U42" s="69">
        <v>9.0109863564050414</v>
      </c>
      <c r="V42" s="69">
        <v>13.279815089639257</v>
      </c>
      <c r="W42" s="69">
        <v>17.534822739608835</v>
      </c>
      <c r="X42" s="69">
        <v>21.76962497539791</v>
      </c>
      <c r="Y42" s="69">
        <v>26.009260327986581</v>
      </c>
      <c r="Z42" s="69">
        <v>30.222917845300394</v>
      </c>
      <c r="AA42" s="69">
        <v>34.441470941070726</v>
      </c>
      <c r="AB42" s="69">
        <v>39.448814187375376</v>
      </c>
      <c r="AC42" s="69">
        <v>43.688510008123231</v>
      </c>
      <c r="AD42" s="69">
        <v>47.932281184900432</v>
      </c>
      <c r="AE42" s="69">
        <v>52.179825193303529</v>
      </c>
      <c r="AF42" s="69">
        <v>56.406512314253668</v>
      </c>
      <c r="AG42" s="69">
        <v>60.630633428088231</v>
      </c>
      <c r="AH42" s="69">
        <v>64.857826851471813</v>
      </c>
      <c r="AI42" s="69">
        <v>69.07402891624092</v>
      </c>
      <c r="AJ42" s="69">
        <v>73.25046687426665</v>
      </c>
      <c r="AK42" s="69">
        <v>77.423099211484725</v>
      </c>
      <c r="AL42" s="69">
        <v>81.598155310084778</v>
      </c>
      <c r="AM42" s="69">
        <v>85.766774653557476</v>
      </c>
      <c r="AN42" s="69">
        <v>89.928395508608745</v>
      </c>
      <c r="AO42" s="69">
        <v>94.092042430773617</v>
      </c>
      <c r="AP42" s="69">
        <v>98.257597198143941</v>
      </c>
      <c r="AQ42" s="69">
        <v>102.42495061106125</v>
      </c>
      <c r="AR42" s="69">
        <v>106.59400164755029</v>
      </c>
      <c r="AS42" s="69">
        <v>110.76465671188022</v>
      </c>
      <c r="AT42" s="69">
        <v>114.93682896448917</v>
      </c>
      <c r="AU42" s="69">
        <v>119.10210097587803</v>
      </c>
      <c r="AV42" s="69">
        <v>123.26349724521455</v>
      </c>
      <c r="AW42" s="69">
        <v>127.42619394464145</v>
      </c>
      <c r="AX42" s="69">
        <v>131.59012541078789</v>
      </c>
      <c r="AY42" s="69">
        <v>135.75523032787945</v>
      </c>
      <c r="AZ42" s="69">
        <v>139.92145137377685</v>
      </c>
      <c r="BA42" s="69">
        <v>144.08873490004271</v>
      </c>
      <c r="BB42" s="69">
        <v>148.25703064227866</v>
      </c>
      <c r="BC42" s="69">
        <v>152.42629145744479</v>
      </c>
      <c r="BD42" s="69">
        <v>156.59647308527281</v>
      </c>
      <c r="BE42" s="69">
        <v>160.76192651498138</v>
      </c>
      <c r="BF42" s="69">
        <v>164.92552237842568</v>
      </c>
      <c r="BG42" s="69">
        <v>169.08992498631989</v>
      </c>
      <c r="BH42" s="69">
        <v>173.25509947176374</v>
      </c>
      <c r="BI42" s="69">
        <v>177.42101294855155</v>
      </c>
      <c r="BJ42" s="69">
        <v>181.58763437249382</v>
      </c>
      <c r="BK42" s="69">
        <v>185.75493441423006</v>
      </c>
      <c r="BL42" s="69">
        <v>189.92288534243613</v>
      </c>
      <c r="BM42" s="69">
        <v>194.09146091644922</v>
      </c>
      <c r="BN42" s="69">
        <v>198.26063628743486</v>
      </c>
      <c r="BO42" s="69"/>
      <c r="BP42" s="73">
        <v>7</v>
      </c>
      <c r="BQ42" s="69">
        <v>5</v>
      </c>
      <c r="BR42" s="69">
        <v>76.591368854687488</v>
      </c>
      <c r="BS42" s="69">
        <v>0.38051448262738624</v>
      </c>
      <c r="BT42" s="69">
        <v>151.32030178326474</v>
      </c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CZ42" s="69"/>
      <c r="DA42" s="69"/>
      <c r="DB42" s="69"/>
      <c r="DC42" s="69"/>
      <c r="DD42" s="69"/>
      <c r="DE42" s="69"/>
      <c r="DF42" s="69"/>
      <c r="DG42" s="69"/>
      <c r="DH42" s="69"/>
      <c r="DI42" s="69"/>
      <c r="DJ42" s="69"/>
      <c r="DK42" s="69"/>
      <c r="DL42" s="69"/>
      <c r="DM42" s="69"/>
      <c r="DN42" s="69"/>
      <c r="DO42" s="69"/>
      <c r="DP42" s="69"/>
      <c r="DQ42" s="69"/>
      <c r="DR42" s="69"/>
      <c r="DS42" s="69"/>
      <c r="DT42" s="69"/>
      <c r="DU42" s="69"/>
      <c r="DV42" s="69"/>
      <c r="DW42" s="69"/>
      <c r="DX42" s="69"/>
      <c r="DY42" s="69"/>
    </row>
    <row r="43" spans="1:129" x14ac:dyDescent="0.2">
      <c r="A43" s="80" t="str">
        <f t="shared" si="0"/>
        <v>8 Duration 15 h</v>
      </c>
      <c r="B43" s="65">
        <f t="shared" si="1"/>
        <v>42.713085494067521</v>
      </c>
      <c r="C43" s="84">
        <f t="shared" si="2"/>
        <v>15.059718503408625</v>
      </c>
      <c r="D43" s="114">
        <f>B43*Technical!$B$34*12/10^6/Results!$B$30</f>
        <v>0.41111344788039988</v>
      </c>
      <c r="E43" s="87">
        <f t="shared" si="3"/>
        <v>16</v>
      </c>
      <c r="F43" s="85">
        <f t="shared" si="4"/>
        <v>193.63968777656245</v>
      </c>
      <c r="G43" s="104">
        <f t="shared" si="5"/>
        <v>9.0204688973336764E-2</v>
      </c>
      <c r="H43" s="87">
        <f t="shared" si="6"/>
        <v>38</v>
      </c>
      <c r="I43" s="69"/>
      <c r="J43" s="73">
        <v>8</v>
      </c>
      <c r="K43" s="69">
        <v>-178.84922726846236</v>
      </c>
      <c r="L43" s="69">
        <v>-174.15295522417316</v>
      </c>
      <c r="M43" s="69">
        <v>-169.41544762877623</v>
      </c>
      <c r="N43" s="69">
        <v>-164.64198804459014</v>
      </c>
      <c r="O43" s="69">
        <v>-159.83699435491624</v>
      </c>
      <c r="P43" s="69">
        <v>-155.00418908281242</v>
      </c>
      <c r="Q43" s="69">
        <v>-150.15434834698539</v>
      </c>
      <c r="R43" s="69">
        <v>-145.29701632766859</v>
      </c>
      <c r="S43" s="69">
        <v>-140.43435980749283</v>
      </c>
      <c r="T43" s="69">
        <v>-135.5626315855578</v>
      </c>
      <c r="U43" s="69">
        <v>-130.6858956951429</v>
      </c>
      <c r="V43" s="69">
        <v>-125.84191145976007</v>
      </c>
      <c r="W43" s="69">
        <v>-120.99301759691427</v>
      </c>
      <c r="X43" s="69">
        <v>-116.13262597413019</v>
      </c>
      <c r="Y43" s="69">
        <v>-111.26173890986081</v>
      </c>
      <c r="Z43" s="69">
        <v>-106.38124550939109</v>
      </c>
      <c r="AA43" s="69">
        <v>-101.49193721033484</v>
      </c>
      <c r="AB43" s="69">
        <v>-96.213107210294154</v>
      </c>
      <c r="AC43" s="69">
        <v>-91.250261241363049</v>
      </c>
      <c r="AD43" s="69">
        <v>-86.280065538920724</v>
      </c>
      <c r="AE43" s="69">
        <v>-81.3030656930286</v>
      </c>
      <c r="AF43" s="69">
        <v>-76.319754596908126</v>
      </c>
      <c r="AG43" s="69">
        <v>-71.330578659214069</v>
      </c>
      <c r="AH43" s="69">
        <v>-66.335943157734377</v>
      </c>
      <c r="AI43" s="69">
        <v>-61.336216869837841</v>
      </c>
      <c r="AJ43" s="69">
        <v>-56.331736091149054</v>
      </c>
      <c r="AK43" s="69">
        <v>-51.322808134719196</v>
      </c>
      <c r="AL43" s="69">
        <v>-46.30971438738915</v>
      </c>
      <c r="AM43" s="69">
        <v>-42.699507500902882</v>
      </c>
      <c r="AN43" s="69">
        <v>-40.259552094611763</v>
      </c>
      <c r="AO43" s="69">
        <v>-35.468319731105026</v>
      </c>
      <c r="AP43" s="69">
        <v>-30.674528447396682</v>
      </c>
      <c r="AQ43" s="69">
        <v>-25.878324708834882</v>
      </c>
      <c r="AR43" s="69">
        <v>-21.192063371586372</v>
      </c>
      <c r="AS43" s="69">
        <v>-16.671578494100828</v>
      </c>
      <c r="AT43" s="69">
        <v>-12.164643825243445</v>
      </c>
      <c r="AU43" s="69">
        <v>-7.6707367100861745</v>
      </c>
      <c r="AV43" s="69">
        <v>-3.1846911937295346</v>
      </c>
      <c r="AW43" s="69">
        <v>1.2813808554488588</v>
      </c>
      <c r="AX43" s="69">
        <v>5.7493166935587396</v>
      </c>
      <c r="AY43" s="69">
        <v>10.195195195599851</v>
      </c>
      <c r="AZ43" s="69">
        <v>14.634054571903619</v>
      </c>
      <c r="BA43" s="69">
        <v>19.074539098345042</v>
      </c>
      <c r="BB43" s="69">
        <v>23.494129814603141</v>
      </c>
      <c r="BC43" s="69">
        <v>27.904542712136475</v>
      </c>
      <c r="BD43" s="69">
        <v>32.316384064407814</v>
      </c>
      <c r="BE43" s="69">
        <v>36.729589345912302</v>
      </c>
      <c r="BF43" s="69">
        <v>41.110843239467229</v>
      </c>
      <c r="BG43" s="69">
        <v>45.493148425328997</v>
      </c>
      <c r="BH43" s="69">
        <v>49.872077056898704</v>
      </c>
      <c r="BI43" s="69">
        <v>54.245065998902589</v>
      </c>
      <c r="BJ43" s="69">
        <v>58.60554841355939</v>
      </c>
      <c r="BK43" s="69">
        <v>62.948772802555453</v>
      </c>
      <c r="BL43" s="69">
        <v>67.293038349032429</v>
      </c>
      <c r="BM43" s="69">
        <v>71.638303078446711</v>
      </c>
      <c r="BN43" s="69">
        <v>75.984527242622249</v>
      </c>
      <c r="BO43" s="69"/>
      <c r="BP43" s="73">
        <v>8</v>
      </c>
      <c r="BQ43" s="69">
        <v>16</v>
      </c>
      <c r="BR43" s="69">
        <v>193.63968777656245</v>
      </c>
      <c r="BS43" s="69">
        <v>9.0204688973336764E-2</v>
      </c>
      <c r="BT43" s="69">
        <v>0</v>
      </c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CN43" s="69"/>
      <c r="CO43" s="69"/>
      <c r="CP43" s="69"/>
      <c r="CQ43" s="69"/>
      <c r="CR43" s="69"/>
      <c r="CS43" s="69"/>
      <c r="CT43" s="69"/>
      <c r="CU43" s="69"/>
      <c r="CV43" s="69"/>
      <c r="CW43" s="69"/>
      <c r="CX43" s="69"/>
      <c r="CY43" s="69"/>
      <c r="CZ43" s="69"/>
      <c r="DA43" s="69"/>
      <c r="DB43" s="69"/>
      <c r="DC43" s="69"/>
      <c r="DD43" s="69"/>
      <c r="DE43" s="69"/>
      <c r="DF43" s="69"/>
      <c r="DG43" s="69"/>
      <c r="DH43" s="69"/>
      <c r="DI43" s="69"/>
      <c r="DJ43" s="69"/>
      <c r="DK43" s="69"/>
      <c r="DL43" s="69"/>
      <c r="DM43" s="69"/>
      <c r="DN43" s="69"/>
      <c r="DO43" s="69"/>
      <c r="DP43" s="69"/>
      <c r="DQ43" s="69"/>
      <c r="DR43" s="69"/>
      <c r="DS43" s="69"/>
      <c r="DT43" s="69"/>
      <c r="DU43" s="69"/>
      <c r="DV43" s="69"/>
      <c r="DW43" s="69"/>
      <c r="DX43" s="69"/>
      <c r="DY43" s="69"/>
    </row>
    <row r="44" spans="1:129" x14ac:dyDescent="0.2">
      <c r="A44" s="80" t="str">
        <f t="shared" si="0"/>
        <v>9 Tax credit 6%</v>
      </c>
      <c r="B44" s="65">
        <f t="shared" si="1"/>
        <v>33.29996935612688</v>
      </c>
      <c r="C44" s="84">
        <f t="shared" si="2"/>
        <v>5.6466023654679844</v>
      </c>
      <c r="D44" s="114">
        <f>B44*Technical!$B$34*12/10^6/Results!$B$30</f>
        <v>0.32051220505272121</v>
      </c>
      <c r="E44" s="87">
        <f t="shared" si="3"/>
        <v>15</v>
      </c>
      <c r="F44" s="85">
        <f t="shared" si="4"/>
        <v>135.11552831562497</v>
      </c>
      <c r="G44" s="104">
        <f t="shared" si="5"/>
        <v>0.15734271405821329</v>
      </c>
      <c r="H44" s="87">
        <f t="shared" si="6"/>
        <v>29</v>
      </c>
      <c r="I44" s="69"/>
      <c r="J44" s="73">
        <v>9</v>
      </c>
      <c r="K44" s="69">
        <v>-132.38088294252938</v>
      </c>
      <c r="L44" s="69">
        <v>-127.5965152906342</v>
      </c>
      <c r="M44" s="69">
        <v>-122.80282552779644</v>
      </c>
      <c r="N44" s="69">
        <v>-117.99401054008122</v>
      </c>
      <c r="O44" s="69">
        <v>-113.20033262417647</v>
      </c>
      <c r="P44" s="69">
        <v>-108.40499424129003</v>
      </c>
      <c r="Q44" s="69">
        <v>-103.59105584681838</v>
      </c>
      <c r="R44" s="69">
        <v>-98.760552935954706</v>
      </c>
      <c r="S44" s="69">
        <v>-93.915234450579021</v>
      </c>
      <c r="T44" s="69">
        <v>-89.056611490457726</v>
      </c>
      <c r="U44" s="69">
        <v>-84.185996414656358</v>
      </c>
      <c r="V44" s="69">
        <v>-79.304534474554032</v>
      </c>
      <c r="W44" s="69">
        <v>-74.413229591331046</v>
      </c>
      <c r="X44" s="69">
        <v>-69.512965504640079</v>
      </c>
      <c r="Y44" s="69">
        <v>-64.60452323400213</v>
      </c>
      <c r="Z44" s="69">
        <v>-59.68859558177143</v>
      </c>
      <c r="AA44" s="69">
        <v>-54.765799246387601</v>
      </c>
      <c r="AB44" s="69">
        <v>-49.079298765119525</v>
      </c>
      <c r="AC44" s="69">
        <v>-45.715939634408898</v>
      </c>
      <c r="AD44" s="69">
        <v>-42.268510623762189</v>
      </c>
      <c r="AE44" s="69">
        <v>-37.491661055412024</v>
      </c>
      <c r="AF44" s="69">
        <v>-32.710940076958913</v>
      </c>
      <c r="AG44" s="69">
        <v>-28.102862384870114</v>
      </c>
      <c r="AH44" s="69">
        <v>-23.600426970368723</v>
      </c>
      <c r="AI44" s="69">
        <v>-19.121969162719395</v>
      </c>
      <c r="AJ44" s="69">
        <v>-14.652064315518146</v>
      </c>
      <c r="AK44" s="69">
        <v>-10.199269695678282</v>
      </c>
      <c r="AL44" s="69">
        <v>-5.7540505728408391</v>
      </c>
      <c r="AM44" s="69">
        <v>-1.3283500491003934</v>
      </c>
      <c r="AN44" s="69">
        <v>3.0999357806645946</v>
      </c>
      <c r="AO44" s="69">
        <v>7.5008374986672948</v>
      </c>
      <c r="AP44" s="69">
        <v>11.900599212995502</v>
      </c>
      <c r="AQ44" s="69">
        <v>16.302550107499968</v>
      </c>
      <c r="AR44" s="69">
        <v>20.673957400728696</v>
      </c>
      <c r="AS44" s="69">
        <v>25.046331324291799</v>
      </c>
      <c r="AT44" s="69">
        <v>29.409951429774239</v>
      </c>
      <c r="AU44" s="69">
        <v>33.763172099696774</v>
      </c>
      <c r="AV44" s="69">
        <v>38.097067192784806</v>
      </c>
      <c r="AW44" s="69">
        <v>42.432590224794637</v>
      </c>
      <c r="AX44" s="69">
        <v>46.769658995262006</v>
      </c>
      <c r="AY44" s="69">
        <v>51.108196746246293</v>
      </c>
      <c r="AZ44" s="69">
        <v>55.425168179242391</v>
      </c>
      <c r="BA44" s="69">
        <v>59.734760549750675</v>
      </c>
      <c r="BB44" s="69">
        <v>64.045639043051693</v>
      </c>
      <c r="BC44" s="69">
        <v>68.35774375914373</v>
      </c>
      <c r="BD44" s="69">
        <v>72.67101846087813</v>
      </c>
      <c r="BE44" s="69">
        <v>76.985410298198005</v>
      </c>
      <c r="BF44" s="69">
        <v>81.274595008707934</v>
      </c>
      <c r="BG44" s="69">
        <v>85.560200712886456</v>
      </c>
      <c r="BH44" s="69">
        <v>89.8467976400796</v>
      </c>
      <c r="BI44" s="69">
        <v>94.13434355876494</v>
      </c>
      <c r="BJ44" s="69">
        <v>98.422798602884512</v>
      </c>
      <c r="BK44" s="69">
        <v>102.71212510851467</v>
      </c>
      <c r="BL44" s="69">
        <v>107.00228746388433</v>
      </c>
      <c r="BM44" s="69">
        <v>111.28979548327983</v>
      </c>
      <c r="BN44" s="69">
        <v>115.55191276632968</v>
      </c>
      <c r="BO44" s="69"/>
      <c r="BP44" s="73">
        <v>9</v>
      </c>
      <c r="BQ44" s="69">
        <v>15</v>
      </c>
      <c r="BR44" s="69">
        <v>135.11552831562497</v>
      </c>
      <c r="BS44" s="69">
        <v>0.15734271405821329</v>
      </c>
      <c r="BT44" s="69">
        <v>23.148148148148145</v>
      </c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69"/>
      <c r="CF44" s="69"/>
      <c r="CG44" s="69"/>
      <c r="CH44" s="69"/>
      <c r="CI44" s="69"/>
      <c r="CJ44" s="69"/>
      <c r="CK44" s="69"/>
      <c r="CL44" s="69"/>
      <c r="CM44" s="69"/>
      <c r="CN44" s="69"/>
      <c r="CO44" s="69"/>
      <c r="CP44" s="69"/>
      <c r="CQ44" s="69"/>
      <c r="CR44" s="69"/>
      <c r="CS44" s="69"/>
      <c r="CT44" s="69"/>
      <c r="CU44" s="69"/>
      <c r="CV44" s="69"/>
      <c r="CW44" s="69"/>
      <c r="CX44" s="69"/>
      <c r="CY44" s="69"/>
      <c r="CZ44" s="69"/>
      <c r="DA44" s="69"/>
      <c r="DB44" s="69"/>
      <c r="DC44" s="69"/>
      <c r="DD44" s="69"/>
      <c r="DE44" s="69"/>
      <c r="DF44" s="69"/>
      <c r="DG44" s="69"/>
      <c r="DH44" s="69"/>
      <c r="DI44" s="69"/>
      <c r="DJ44" s="69"/>
      <c r="DK44" s="69"/>
      <c r="DL44" s="69"/>
      <c r="DM44" s="69"/>
      <c r="DN44" s="69"/>
      <c r="DO44" s="69"/>
      <c r="DP44" s="69"/>
      <c r="DQ44" s="69"/>
      <c r="DR44" s="69"/>
      <c r="DS44" s="69"/>
      <c r="DT44" s="69"/>
      <c r="DU44" s="69"/>
      <c r="DV44" s="69"/>
      <c r="DW44" s="69"/>
      <c r="DX44" s="69"/>
      <c r="DY44" s="69"/>
    </row>
    <row r="45" spans="1:129" x14ac:dyDescent="0.2">
      <c r="A45" s="80" t="str">
        <f t="shared" si="0"/>
        <v>10 Tax credit 0%</v>
      </c>
      <c r="B45" s="65">
        <f t="shared" si="1"/>
        <v>34.709536014056191</v>
      </c>
      <c r="C45" s="84">
        <f t="shared" si="2"/>
        <v>7.0561690233972953</v>
      </c>
      <c r="D45" s="114">
        <f>B45*Technical!$B$34*12/10^6/Results!$B$30</f>
        <v>0.33407928413529087</v>
      </c>
      <c r="E45" s="87">
        <f t="shared" si="3"/>
        <v>15</v>
      </c>
      <c r="F45" s="85">
        <f t="shared" si="4"/>
        <v>135.11552831562497</v>
      </c>
      <c r="G45" s="104">
        <f t="shared" si="5"/>
        <v>0.15734271405821329</v>
      </c>
      <c r="H45" s="87">
        <f t="shared" si="6"/>
        <v>30</v>
      </c>
      <c r="I45" s="69"/>
      <c r="J45" s="73">
        <v>10</v>
      </c>
      <c r="K45" s="69">
        <v>-138.89538162917557</v>
      </c>
      <c r="L45" s="69">
        <v>-134.11101397728041</v>
      </c>
      <c r="M45" s="69">
        <v>-129.31732421444264</v>
      </c>
      <c r="N45" s="69">
        <v>-124.50850922672743</v>
      </c>
      <c r="O45" s="69">
        <v>-119.71483131082269</v>
      </c>
      <c r="P45" s="69">
        <v>-114.91949292793623</v>
      </c>
      <c r="Q45" s="69">
        <v>-110.10555453346458</v>
      </c>
      <c r="R45" s="69">
        <v>-105.27505162260091</v>
      </c>
      <c r="S45" s="69">
        <v>-100.42973313722523</v>
      </c>
      <c r="T45" s="69">
        <v>-95.571110177103918</v>
      </c>
      <c r="U45" s="69">
        <v>-90.70049510130255</v>
      </c>
      <c r="V45" s="69">
        <v>-85.819033161200238</v>
      </c>
      <c r="W45" s="69">
        <v>-80.927728277977252</v>
      </c>
      <c r="X45" s="69">
        <v>-76.027464191286285</v>
      </c>
      <c r="Y45" s="69">
        <v>-71.119021920648336</v>
      </c>
      <c r="Z45" s="69">
        <v>-66.20309426841763</v>
      </c>
      <c r="AA45" s="69">
        <v>-61.280297933033815</v>
      </c>
      <c r="AB45" s="69">
        <v>-55.593797451765724</v>
      </c>
      <c r="AC45" s="69">
        <v>-50.59897283304862</v>
      </c>
      <c r="AD45" s="69">
        <v>-48.776919841686897</v>
      </c>
      <c r="AE45" s="69">
        <v>-44.000070273336732</v>
      </c>
      <c r="AF45" s="69">
        <v>-39.219349294883621</v>
      </c>
      <c r="AG45" s="69">
        <v>-34.435030739706519</v>
      </c>
      <c r="AH45" s="69">
        <v>-29.916710502387261</v>
      </c>
      <c r="AI45" s="69">
        <v>-25.419345255560238</v>
      </c>
      <c r="AJ45" s="69">
        <v>-20.937623243289316</v>
      </c>
      <c r="AK45" s="69">
        <v>-16.471321813509064</v>
      </c>
      <c r="AL45" s="69">
        <v>-12.015631624078246</v>
      </c>
      <c r="AM45" s="69">
        <v>-7.5720393149199055</v>
      </c>
      <c r="AN45" s="69">
        <v>-3.1437534851549174</v>
      </c>
      <c r="AO45" s="69">
        <v>1.286963804561033</v>
      </c>
      <c r="AP45" s="69">
        <v>5.6886763414286179</v>
      </c>
      <c r="AQ45" s="69">
        <v>10.090627235933091</v>
      </c>
      <c r="AR45" s="69">
        <v>14.494644354033667</v>
      </c>
      <c r="AS45" s="69">
        <v>18.869986814287842</v>
      </c>
      <c r="AT45" s="69">
        <v>23.244234917771905</v>
      </c>
      <c r="AU45" s="69">
        <v>27.611333720402001</v>
      </c>
      <c r="AV45" s="69">
        <v>31.972150662573455</v>
      </c>
      <c r="AW45" s="69">
        <v>36.307673694583272</v>
      </c>
      <c r="AX45" s="69">
        <v>40.644742465050641</v>
      </c>
      <c r="AY45" s="69">
        <v>44.983280216034942</v>
      </c>
      <c r="AZ45" s="69">
        <v>49.323215189013865</v>
      </c>
      <c r="BA45" s="69">
        <v>53.652393021777158</v>
      </c>
      <c r="BB45" s="69">
        <v>57.963271515078162</v>
      </c>
      <c r="BC45" s="69">
        <v>62.275376231170199</v>
      </c>
      <c r="BD45" s="69">
        <v>66.588650932904613</v>
      </c>
      <c r="BE45" s="69">
        <v>70.903042770224488</v>
      </c>
      <c r="BF45" s="69">
        <v>75.218502028946929</v>
      </c>
      <c r="BG45" s="69">
        <v>79.525488067419317</v>
      </c>
      <c r="BH45" s="69">
        <v>83.812084994612476</v>
      </c>
      <c r="BI45" s="69">
        <v>88.099630913297801</v>
      </c>
      <c r="BJ45" s="69">
        <v>92.388085957417388</v>
      </c>
      <c r="BK45" s="69">
        <v>96.677412463047546</v>
      </c>
      <c r="BL45" s="69">
        <v>100.96757481841718</v>
      </c>
      <c r="BM45" s="69">
        <v>105.25853932601943</v>
      </c>
      <c r="BN45" s="69">
        <v>109.55027407569369</v>
      </c>
      <c r="BO45" s="69"/>
      <c r="BP45" s="73">
        <v>10</v>
      </c>
      <c r="BQ45" s="69">
        <v>15</v>
      </c>
      <c r="BR45" s="69">
        <v>135.11552831562497</v>
      </c>
      <c r="BS45" s="69">
        <v>0.15734271405821329</v>
      </c>
      <c r="BT45" s="69">
        <v>23.148148148148145</v>
      </c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69"/>
      <c r="CS45" s="69"/>
      <c r="CT45" s="69"/>
      <c r="CU45" s="69"/>
      <c r="CV45" s="69"/>
      <c r="CW45" s="69"/>
      <c r="CX45" s="69"/>
      <c r="CY45" s="69"/>
      <c r="CZ45" s="69"/>
      <c r="DA45" s="69"/>
      <c r="DB45" s="69"/>
      <c r="DC45" s="69"/>
      <c r="DD45" s="69"/>
      <c r="DE45" s="69"/>
      <c r="DF45" s="69"/>
      <c r="DG45" s="69"/>
      <c r="DH45" s="69"/>
      <c r="DI45" s="69"/>
      <c r="DJ45" s="69"/>
      <c r="DK45" s="69"/>
      <c r="DL45" s="69"/>
      <c r="DM45" s="69"/>
      <c r="DN45" s="69"/>
      <c r="DO45" s="69"/>
      <c r="DP45" s="69"/>
      <c r="DQ45" s="69"/>
      <c r="DR45" s="69"/>
      <c r="DS45" s="69"/>
      <c r="DT45" s="69"/>
      <c r="DU45" s="69"/>
      <c r="DV45" s="69"/>
      <c r="DW45" s="69"/>
      <c r="DX45" s="69"/>
      <c r="DY45" s="69"/>
    </row>
    <row r="46" spans="1:129" x14ac:dyDescent="0.2">
      <c r="A46" s="80" t="str">
        <f t="shared" si="0"/>
        <v>11 Treasury base rate +1 point</v>
      </c>
      <c r="B46" s="65">
        <f t="shared" si="1"/>
        <v>28.39000704398029</v>
      </c>
      <c r="C46" s="84">
        <f t="shared" si="2"/>
        <v>0.73664005332139482</v>
      </c>
      <c r="D46" s="114">
        <f>B46*Technical!$B$34*12/10^6/Results!$B$30</f>
        <v>0.27325381779831026</v>
      </c>
      <c r="E46" s="87">
        <f t="shared" si="3"/>
        <v>15</v>
      </c>
      <c r="F46" s="85">
        <f t="shared" si="4"/>
        <v>135.11552831562497</v>
      </c>
      <c r="G46" s="104">
        <f t="shared" si="5"/>
        <v>0.15734271405821329</v>
      </c>
      <c r="H46" s="87">
        <f t="shared" si="6"/>
        <v>24</v>
      </c>
      <c r="I46" s="69"/>
      <c r="J46" s="73">
        <v>11</v>
      </c>
      <c r="K46" s="69">
        <v>-105.68855308826816</v>
      </c>
      <c r="L46" s="69">
        <v>-101.0831239999976</v>
      </c>
      <c r="M46" s="69">
        <v>-96.474551299091331</v>
      </c>
      <c r="N46" s="69">
        <v>-91.856974757511779</v>
      </c>
      <c r="O46" s="69">
        <v>-87.254168863412971</v>
      </c>
      <c r="P46" s="69">
        <v>-82.650679788537545</v>
      </c>
      <c r="Q46" s="69">
        <v>-78.033095116365828</v>
      </c>
      <c r="R46" s="69">
        <v>-73.40295740080478</v>
      </c>
      <c r="S46" s="69">
        <v>-68.761592037826489</v>
      </c>
      <c r="T46" s="69">
        <v>-64.110144180146818</v>
      </c>
      <c r="U46" s="69">
        <v>-59.449608369345022</v>
      </c>
      <c r="V46" s="69">
        <v>-54.780852508226943</v>
      </c>
      <c r="W46" s="69">
        <v>-50.104637395709773</v>
      </c>
      <c r="X46" s="69">
        <v>-45.421632753863435</v>
      </c>
      <c r="Y46" s="69">
        <v>-40.732430460633758</v>
      </c>
      <c r="Z46" s="69">
        <v>-36.037555540585615</v>
      </c>
      <c r="AA46" s="69">
        <v>-32.615290272498584</v>
      </c>
      <c r="AB46" s="69">
        <v>-28.05930156614447</v>
      </c>
      <c r="AC46" s="69">
        <v>-23.471695208973486</v>
      </c>
      <c r="AD46" s="69">
        <v>-18.880623164290171</v>
      </c>
      <c r="AE46" s="69">
        <v>-14.533077813365878</v>
      </c>
      <c r="AF46" s="69">
        <v>-10.227126070742955</v>
      </c>
      <c r="AG46" s="69">
        <v>-5.9315338549951662</v>
      </c>
      <c r="AH46" s="69">
        <v>-1.663621525712955</v>
      </c>
      <c r="AI46" s="69">
        <v>2.6019976506346012</v>
      </c>
      <c r="AJ46" s="69">
        <v>6.8432888034641763</v>
      </c>
      <c r="AK46" s="69">
        <v>11.087118252516646</v>
      </c>
      <c r="AL46" s="69">
        <v>15.302048915808953</v>
      </c>
      <c r="AM46" s="69">
        <v>19.518307873113017</v>
      </c>
      <c r="AN46" s="69">
        <v>23.725928236518868</v>
      </c>
      <c r="AO46" s="69">
        <v>27.913844577134256</v>
      </c>
      <c r="AP46" s="69">
        <v>32.09841391743403</v>
      </c>
      <c r="AQ46" s="69">
        <v>36.277080711946908</v>
      </c>
      <c r="AR46" s="69">
        <v>40.428201037872881</v>
      </c>
      <c r="AS46" s="69">
        <v>44.580986497366695</v>
      </c>
      <c r="AT46" s="69">
        <v>48.735346942697831</v>
      </c>
      <c r="AU46" s="69">
        <v>52.891198618062589</v>
      </c>
      <c r="AV46" s="69">
        <v>57.021892925288483</v>
      </c>
      <c r="AW46" s="69">
        <v>61.150005491679892</v>
      </c>
      <c r="AX46" s="69">
        <v>65.279416193204185</v>
      </c>
      <c r="AY46" s="69">
        <v>69.410060567352218</v>
      </c>
      <c r="AZ46" s="69">
        <v>73.541878350203902</v>
      </c>
      <c r="BA46" s="69">
        <v>77.658723515721363</v>
      </c>
      <c r="BB46" s="69">
        <v>81.763042501456411</v>
      </c>
      <c r="BC46" s="69">
        <v>85.86839610100742</v>
      </c>
      <c r="BD46" s="69">
        <v>89.974736864815156</v>
      </c>
      <c r="BE46" s="69">
        <v>94.082020201146776</v>
      </c>
      <c r="BF46" s="69">
        <v>98.190204164133419</v>
      </c>
      <c r="BG46" s="69">
        <v>102.29924926039705</v>
      </c>
      <c r="BH46" s="69">
        <v>106.39470714703458</v>
      </c>
      <c r="BI46" s="69">
        <v>110.47695222734325</v>
      </c>
      <c r="BJ46" s="69">
        <v>114.55996760642513</v>
      </c>
      <c r="BK46" s="69">
        <v>118.64372137177052</v>
      </c>
      <c r="BL46" s="69">
        <v>122.72818334965143</v>
      </c>
      <c r="BM46" s="69">
        <v>126.81332498828927</v>
      </c>
      <c r="BN46" s="69">
        <v>130.89691788203407</v>
      </c>
      <c r="BO46" s="69"/>
      <c r="BP46" s="73">
        <v>11</v>
      </c>
      <c r="BQ46" s="69">
        <v>15</v>
      </c>
      <c r="BR46" s="69">
        <v>135.11552831562497</v>
      </c>
      <c r="BS46" s="69">
        <v>0.15734271405821329</v>
      </c>
      <c r="BT46" s="69">
        <v>23.148148148148145</v>
      </c>
      <c r="BU46" s="69"/>
      <c r="BV46" s="69"/>
      <c r="BW46" s="69"/>
      <c r="BX46" s="69"/>
      <c r="BY46" s="69"/>
      <c r="BZ46" s="69"/>
      <c r="CA46" s="69"/>
      <c r="CB46" s="69"/>
      <c r="CC46" s="69"/>
      <c r="CD46" s="69"/>
      <c r="CE46" s="69"/>
      <c r="CF46" s="69"/>
      <c r="CG46" s="69"/>
      <c r="CH46" s="69"/>
      <c r="CI46" s="69"/>
      <c r="CJ46" s="69"/>
      <c r="CK46" s="69"/>
      <c r="CL46" s="69"/>
      <c r="CM46" s="69"/>
      <c r="CN46" s="69"/>
      <c r="CO46" s="69"/>
      <c r="CP46" s="69"/>
      <c r="CQ46" s="69"/>
      <c r="CR46" s="69"/>
      <c r="CS46" s="69"/>
      <c r="CT46" s="69"/>
      <c r="CU46" s="69"/>
      <c r="CV46" s="69"/>
      <c r="CW46" s="69"/>
      <c r="CX46" s="69"/>
      <c r="CY46" s="69"/>
      <c r="CZ46" s="69"/>
      <c r="DA46" s="69"/>
      <c r="DB46" s="69"/>
      <c r="DC46" s="69"/>
      <c r="DD46" s="69"/>
      <c r="DE46" s="69"/>
      <c r="DF46" s="69"/>
      <c r="DG46" s="69"/>
      <c r="DH46" s="69"/>
      <c r="DI46" s="69"/>
      <c r="DJ46" s="69"/>
      <c r="DK46" s="69"/>
      <c r="DL46" s="69"/>
      <c r="DM46" s="69"/>
      <c r="DN46" s="69"/>
      <c r="DO46" s="69"/>
      <c r="DP46" s="69"/>
      <c r="DQ46" s="69"/>
      <c r="DR46" s="69"/>
      <c r="DS46" s="69"/>
      <c r="DT46" s="69"/>
      <c r="DU46" s="69"/>
      <c r="DV46" s="69"/>
      <c r="DW46" s="69"/>
      <c r="DX46" s="69"/>
      <c r="DY46" s="69"/>
    </row>
    <row r="47" spans="1:129" x14ac:dyDescent="0.2">
      <c r="A47" s="80" t="str">
        <f t="shared" si="0"/>
        <v>12 Treasury base rate −1 point</v>
      </c>
      <c r="B47" s="65">
        <f t="shared" si="1"/>
        <v>26.906284880314143</v>
      </c>
      <c r="C47" s="84">
        <f t="shared" si="2"/>
        <v>-0.74708211034475269</v>
      </c>
      <c r="D47" s="114">
        <f>B47*Technical!$B$34*12/10^6/Results!$B$30</f>
        <v>0.25897299197302365</v>
      </c>
      <c r="E47" s="87">
        <f t="shared" si="3"/>
        <v>15</v>
      </c>
      <c r="F47" s="85">
        <f t="shared" si="4"/>
        <v>135.11552831562497</v>
      </c>
      <c r="G47" s="104">
        <f t="shared" si="5"/>
        <v>0.15734271405821329</v>
      </c>
      <c r="H47" s="87">
        <f t="shared" si="6"/>
        <v>22</v>
      </c>
      <c r="I47" s="69"/>
      <c r="J47" s="73">
        <v>12</v>
      </c>
      <c r="K47" s="69">
        <v>-107.0222376942075</v>
      </c>
      <c r="L47" s="69">
        <v>-102.04016823286318</v>
      </c>
      <c r="M47" s="69">
        <v>-97.04251970579935</v>
      </c>
      <c r="N47" s="69">
        <v>-92.023077889225306</v>
      </c>
      <c r="O47" s="69">
        <v>-87.019154308539044</v>
      </c>
      <c r="P47" s="69">
        <v>-82.012490930996634</v>
      </c>
      <c r="Q47" s="69">
        <v>-76.982265859518492</v>
      </c>
      <c r="R47" s="69">
        <v>-71.93105757178617</v>
      </c>
      <c r="S47" s="69">
        <v>-66.861081552080336</v>
      </c>
      <c r="T47" s="69">
        <v>-61.774251996531476</v>
      </c>
      <c r="U47" s="69">
        <v>-56.672231345106063</v>
      </c>
      <c r="V47" s="69">
        <v>-51.556470352947471</v>
      </c>
      <c r="W47" s="69">
        <v>-46.428240744187569</v>
      </c>
      <c r="X47" s="69">
        <v>-41.288662002172892</v>
      </c>
      <c r="Y47" s="69">
        <v>-36.138723488809354</v>
      </c>
      <c r="Z47" s="69">
        <v>-30.979788124100921</v>
      </c>
      <c r="AA47" s="69">
        <v>-27.950494340290518</v>
      </c>
      <c r="AB47" s="69">
        <v>-23.258963745086731</v>
      </c>
      <c r="AC47" s="69">
        <v>-18.291798908344376</v>
      </c>
      <c r="AD47" s="69">
        <v>-13.525181770318596</v>
      </c>
      <c r="AE47" s="69">
        <v>-8.8543714511411054</v>
      </c>
      <c r="AF47" s="69">
        <v>-4.1974399882684992</v>
      </c>
      <c r="AG47" s="69">
        <v>0.4340396705486711</v>
      </c>
      <c r="AH47" s="69">
        <v>5.055449054340329</v>
      </c>
      <c r="AI47" s="69">
        <v>9.6617518711529584</v>
      </c>
      <c r="AJ47" s="69">
        <v>14.255954785850435</v>
      </c>
      <c r="AK47" s="69">
        <v>18.835366579502193</v>
      </c>
      <c r="AL47" s="69">
        <v>23.415486099551032</v>
      </c>
      <c r="AM47" s="69">
        <v>27.966669683902936</v>
      </c>
      <c r="AN47" s="69">
        <v>32.514787879323634</v>
      </c>
      <c r="AO47" s="69">
        <v>37.055885942076515</v>
      </c>
      <c r="AP47" s="69">
        <v>41.570148443081422</v>
      </c>
      <c r="AQ47" s="69">
        <v>46.087118650641088</v>
      </c>
      <c r="AR47" s="69">
        <v>50.606644484839251</v>
      </c>
      <c r="AS47" s="69">
        <v>55.11727768929147</v>
      </c>
      <c r="AT47" s="69">
        <v>59.60824699564408</v>
      </c>
      <c r="AU47" s="69">
        <v>64.101403389446517</v>
      </c>
      <c r="AV47" s="69">
        <v>68.596632589857691</v>
      </c>
      <c r="AW47" s="69">
        <v>73.09382814168336</v>
      </c>
      <c r="AX47" s="69">
        <v>77.575658669321683</v>
      </c>
      <c r="AY47" s="69">
        <v>82.044034337986147</v>
      </c>
      <c r="AZ47" s="69">
        <v>86.514117054062268</v>
      </c>
      <c r="BA47" s="69">
        <v>90.985824765706312</v>
      </c>
      <c r="BB47" s="69">
        <v>95.459080596745565</v>
      </c>
      <c r="BC47" s="69">
        <v>99.933812444924428</v>
      </c>
      <c r="BD47" s="69">
        <v>104.40420038122201</v>
      </c>
      <c r="BE47" s="69">
        <v>108.85051052316227</v>
      </c>
      <c r="BF47" s="69">
        <v>113.29812016091195</v>
      </c>
      <c r="BG47" s="69">
        <v>117.74697231028242</v>
      </c>
      <c r="BH47" s="69">
        <v>122.19701327083807</v>
      </c>
      <c r="BI47" s="69">
        <v>126.64819239271935</v>
      </c>
      <c r="BJ47" s="69">
        <v>131.08921457956859</v>
      </c>
      <c r="BK47" s="69">
        <v>135.51018236258062</v>
      </c>
      <c r="BL47" s="69">
        <v>139.91939575784579</v>
      </c>
      <c r="BM47" s="69">
        <v>144.30976532653881</v>
      </c>
      <c r="BN47" s="69">
        <v>148.70108285047331</v>
      </c>
      <c r="BO47" s="69"/>
      <c r="BP47" s="73">
        <v>12</v>
      </c>
      <c r="BQ47" s="69">
        <v>15</v>
      </c>
      <c r="BR47" s="69">
        <v>135.11552831562497</v>
      </c>
      <c r="BS47" s="69">
        <v>0.15734271405821329</v>
      </c>
      <c r="BT47" s="69">
        <v>23.148148148148145</v>
      </c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  <c r="CP47" s="69"/>
      <c r="CQ47" s="69"/>
      <c r="CR47" s="69"/>
      <c r="CS47" s="69"/>
      <c r="CT47" s="69"/>
      <c r="CU47" s="69"/>
      <c r="CV47" s="69"/>
      <c r="CW47" s="69"/>
      <c r="CX47" s="69"/>
      <c r="CY47" s="69"/>
      <c r="CZ47" s="69"/>
      <c r="DA47" s="69"/>
      <c r="DB47" s="69"/>
      <c r="DC47" s="69"/>
      <c r="DD47" s="69"/>
      <c r="DE47" s="69"/>
      <c r="DF47" s="69"/>
      <c r="DG47" s="69"/>
      <c r="DH47" s="69"/>
      <c r="DI47" s="69"/>
      <c r="DJ47" s="69"/>
      <c r="DK47" s="69"/>
      <c r="DL47" s="69"/>
      <c r="DM47" s="69"/>
      <c r="DN47" s="69"/>
      <c r="DO47" s="69"/>
      <c r="DP47" s="69"/>
      <c r="DQ47" s="69"/>
      <c r="DR47" s="69"/>
      <c r="DS47" s="69"/>
      <c r="DT47" s="69"/>
      <c r="DU47" s="69"/>
      <c r="DV47" s="69"/>
      <c r="DW47" s="69"/>
      <c r="DX47" s="69"/>
      <c r="DY47" s="69"/>
    </row>
    <row r="48" spans="1:129" x14ac:dyDescent="0.2">
      <c r="A48" s="80" t="str">
        <f t="shared" si="0"/>
        <v>13 No overnight recharge</v>
      </c>
      <c r="B48" s="65">
        <f t="shared" si="1"/>
        <v>28.006668902929185</v>
      </c>
      <c r="C48" s="84">
        <f t="shared" si="2"/>
        <v>0.35330191227028962</v>
      </c>
      <c r="D48" s="114">
        <f>B48*Technical!$B$34*12/10^6/Results!$B$30</f>
        <v>0.26956418819069339</v>
      </c>
      <c r="E48" s="87">
        <f t="shared" si="3"/>
        <v>10</v>
      </c>
      <c r="F48" s="85">
        <f t="shared" si="4"/>
        <v>135.11552831562497</v>
      </c>
      <c r="G48" s="104">
        <f t="shared" si="5"/>
        <v>0.37367635044281544</v>
      </c>
      <c r="H48" s="87">
        <f t="shared" si="6"/>
        <v>24</v>
      </c>
      <c r="I48" s="69"/>
      <c r="J48" s="73">
        <v>13</v>
      </c>
      <c r="K48" s="69">
        <v>-108.05485148316012</v>
      </c>
      <c r="L48" s="69">
        <v>-103.26838954976822</v>
      </c>
      <c r="M48" s="69">
        <v>-98.471863914945729</v>
      </c>
      <c r="N48" s="69">
        <v>-93.663172189321728</v>
      </c>
      <c r="O48" s="69">
        <v>-88.854322382332199</v>
      </c>
      <c r="P48" s="69">
        <v>-84.062673911907268</v>
      </c>
      <c r="Q48" s="69">
        <v>-79.252146033881132</v>
      </c>
      <c r="R48" s="69">
        <v>-74.424804819193923</v>
      </c>
      <c r="S48" s="69">
        <v>-69.582425481074495</v>
      </c>
      <c r="T48" s="69">
        <v>-64.726541817944707</v>
      </c>
      <c r="U48" s="69">
        <v>-59.858485902185514</v>
      </c>
      <c r="V48" s="69">
        <v>-54.979420188319764</v>
      </c>
      <c r="W48" s="69">
        <v>-50.090363677710705</v>
      </c>
      <c r="X48" s="69">
        <v>-45.192213384913451</v>
      </c>
      <c r="Y48" s="69">
        <v>-40.285762061363272</v>
      </c>
      <c r="Z48" s="69">
        <v>-35.371712916193815</v>
      </c>
      <c r="AA48" s="69">
        <v>-31.038611381845925</v>
      </c>
      <c r="AB48" s="69">
        <v>-27.464379282841819</v>
      </c>
      <c r="AC48" s="69">
        <v>-22.697546490966957</v>
      </c>
      <c r="AD48" s="69">
        <v>-17.926137546259852</v>
      </c>
      <c r="AE48" s="69">
        <v>-13.412963888891937</v>
      </c>
      <c r="AF48" s="69">
        <v>-8.9360857415518637</v>
      </c>
      <c r="AG48" s="69">
        <v>-4.4712348790396135</v>
      </c>
      <c r="AH48" s="69">
        <v>-2.9555055691858456E-2</v>
      </c>
      <c r="AI48" s="69">
        <v>4.4022167073254082</v>
      </c>
      <c r="AJ48" s="69">
        <v>8.8180062023327395</v>
      </c>
      <c r="AK48" s="69">
        <v>13.225727829160334</v>
      </c>
      <c r="AL48" s="69">
        <v>17.614272941096715</v>
      </c>
      <c r="AM48" s="69">
        <v>22.005651473545598</v>
      </c>
      <c r="AN48" s="69">
        <v>26.371908981772435</v>
      </c>
      <c r="AO48" s="69">
        <v>30.73353237222733</v>
      </c>
      <c r="AP48" s="69">
        <v>35.086936495934282</v>
      </c>
      <c r="AQ48" s="69">
        <v>39.420082131664842</v>
      </c>
      <c r="AR48" s="69">
        <v>43.745689950677487</v>
      </c>
      <c r="AS48" s="69">
        <v>48.073349983956945</v>
      </c>
      <c r="AT48" s="69">
        <v>52.402951127828274</v>
      </c>
      <c r="AU48" s="69">
        <v>56.711674872145636</v>
      </c>
      <c r="AV48" s="69">
        <v>61.013061973207982</v>
      </c>
      <c r="AW48" s="69">
        <v>65.316126222344806</v>
      </c>
      <c r="AX48" s="69">
        <v>69.620782934345598</v>
      </c>
      <c r="AY48" s="69">
        <v>73.926953031039361</v>
      </c>
      <c r="AZ48" s="69">
        <v>78.214733545911344</v>
      </c>
      <c r="BA48" s="69">
        <v>82.492726146872414</v>
      </c>
      <c r="BB48" s="69">
        <v>86.772043867362413</v>
      </c>
      <c r="BC48" s="69">
        <v>91.052624991142125</v>
      </c>
      <c r="BD48" s="69">
        <v>95.334411575887302</v>
      </c>
      <c r="BE48" s="69">
        <v>99.617349169065918</v>
      </c>
      <c r="BF48" s="69">
        <v>103.90138654910321</v>
      </c>
      <c r="BG48" s="69">
        <v>108.15848380900583</v>
      </c>
      <c r="BH48" s="69">
        <v>112.41487749777644</v>
      </c>
      <c r="BI48" s="69">
        <v>116.67224876254659</v>
      </c>
      <c r="BJ48" s="69">
        <v>120.93055653645553</v>
      </c>
      <c r="BK48" s="69">
        <v>125.18976202110716</v>
      </c>
      <c r="BL48" s="69">
        <v>129.44858633027411</v>
      </c>
      <c r="BM48" s="69">
        <v>133.68713803635535</v>
      </c>
      <c r="BN48" s="69">
        <v>137.91804345109796</v>
      </c>
      <c r="BO48" s="69"/>
      <c r="BP48" s="73">
        <v>13</v>
      </c>
      <c r="BQ48" s="69">
        <v>10</v>
      </c>
      <c r="BR48" s="69">
        <v>135.11552831562497</v>
      </c>
      <c r="BS48" s="69">
        <v>0.37367635044281544</v>
      </c>
      <c r="BT48" s="69">
        <v>150.46296296296293</v>
      </c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69"/>
      <c r="CS48" s="69"/>
      <c r="CT48" s="69"/>
      <c r="CU48" s="69"/>
      <c r="CV48" s="69"/>
      <c r="CW48" s="69"/>
      <c r="CX48" s="69"/>
      <c r="CY48" s="69"/>
      <c r="CZ48" s="69"/>
      <c r="DA48" s="69"/>
      <c r="DB48" s="69"/>
      <c r="DC48" s="69"/>
      <c r="DD48" s="69"/>
      <c r="DE48" s="69"/>
      <c r="DF48" s="69"/>
      <c r="DG48" s="69"/>
      <c r="DH48" s="69"/>
      <c r="DI48" s="69"/>
      <c r="DJ48" s="69"/>
      <c r="DK48" s="69"/>
      <c r="DL48" s="69"/>
      <c r="DM48" s="69"/>
      <c r="DN48" s="69"/>
      <c r="DO48" s="69"/>
      <c r="DP48" s="69"/>
      <c r="DQ48" s="69"/>
      <c r="DR48" s="69"/>
      <c r="DS48" s="69"/>
      <c r="DT48" s="69"/>
      <c r="DU48" s="69"/>
      <c r="DV48" s="69"/>
      <c r="DW48" s="69"/>
      <c r="DX48" s="69"/>
      <c r="DY48" s="69"/>
    </row>
    <row r="49" spans="1:129" x14ac:dyDescent="0.2">
      <c r="A49" s="108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69"/>
      <c r="CF49" s="69"/>
      <c r="CG49" s="69"/>
      <c r="CH49" s="69"/>
      <c r="CI49" s="69"/>
      <c r="CJ49" s="69"/>
      <c r="CK49" s="69"/>
      <c r="CL49" s="69"/>
      <c r="CM49" s="69"/>
      <c r="CN49" s="69"/>
      <c r="CO49" s="69"/>
      <c r="CP49" s="69"/>
      <c r="CQ49" s="69"/>
      <c r="CR49" s="69"/>
      <c r="CS49" s="69"/>
      <c r="CT49" s="69"/>
      <c r="CU49" s="69"/>
      <c r="CV49" s="69"/>
      <c r="CW49" s="69"/>
      <c r="CX49" s="69"/>
      <c r="CY49" s="69"/>
      <c r="CZ49" s="69"/>
      <c r="DA49" s="69"/>
      <c r="DB49" s="69"/>
      <c r="DC49" s="69"/>
      <c r="DD49" s="69"/>
      <c r="DE49" s="69"/>
      <c r="DF49" s="69"/>
      <c r="DG49" s="69"/>
      <c r="DH49" s="69"/>
      <c r="DI49" s="69"/>
      <c r="DJ49" s="69"/>
      <c r="DK49" s="69"/>
      <c r="DL49" s="69"/>
      <c r="DM49" s="69"/>
      <c r="DN49" s="69"/>
      <c r="DO49" s="69"/>
      <c r="DP49" s="69"/>
      <c r="DQ49" s="69"/>
      <c r="DR49" s="69"/>
      <c r="DS49" s="69"/>
      <c r="DT49" s="69"/>
      <c r="DU49" s="69"/>
      <c r="DV49" s="69"/>
      <c r="DW49" s="69"/>
      <c r="DX49" s="69"/>
      <c r="DY49" s="69"/>
    </row>
    <row r="50" spans="1:129" x14ac:dyDescent="0.2">
      <c r="A50" s="141" t="s">
        <v>506</v>
      </c>
      <c r="B50" s="149"/>
      <c r="C50" s="149"/>
      <c r="D50" s="142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69"/>
      <c r="CF50" s="69"/>
      <c r="CG50" s="69"/>
      <c r="CH50" s="69"/>
      <c r="CI50" s="69"/>
      <c r="CJ50" s="69"/>
      <c r="CK50" s="69"/>
      <c r="CL50" s="69"/>
      <c r="CM50" s="69"/>
      <c r="CN50" s="69"/>
      <c r="CO50" s="69"/>
      <c r="CP50" s="69"/>
      <c r="CQ50" s="69"/>
      <c r="CR50" s="69"/>
      <c r="CS50" s="69"/>
      <c r="CT50" s="69"/>
      <c r="CU50" s="69"/>
      <c r="CV50" s="69"/>
      <c r="CW50" s="69"/>
      <c r="CX50" s="69"/>
      <c r="CY50" s="69"/>
      <c r="CZ50" s="69"/>
      <c r="DA50" s="69"/>
      <c r="DB50" s="69"/>
      <c r="DC50" s="69"/>
      <c r="DD50" s="69"/>
      <c r="DE50" s="69"/>
      <c r="DF50" s="69"/>
      <c r="DG50" s="69"/>
      <c r="DH50" s="69"/>
      <c r="DI50" s="69"/>
      <c r="DJ50" s="69"/>
      <c r="DK50" s="69"/>
      <c r="DL50" s="69"/>
      <c r="DM50" s="69"/>
      <c r="DN50" s="69"/>
      <c r="DO50" s="69"/>
      <c r="DP50" s="69"/>
      <c r="DQ50" s="69"/>
      <c r="DR50" s="69"/>
      <c r="DS50" s="69"/>
      <c r="DT50" s="69"/>
      <c r="DU50" s="69"/>
      <c r="DV50" s="69"/>
      <c r="DW50" s="69"/>
      <c r="DX50" s="69"/>
      <c r="DY50" s="69"/>
    </row>
    <row r="51" spans="1:129" ht="28" x14ac:dyDescent="0.2">
      <c r="A51" s="79" t="s">
        <v>367</v>
      </c>
      <c r="B51" s="79" t="s">
        <v>368</v>
      </c>
      <c r="C51" s="79" t="s">
        <v>369</v>
      </c>
      <c r="D51" s="79" t="s">
        <v>370</v>
      </c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69"/>
      <c r="CF51" s="69"/>
      <c r="CG51" s="69"/>
      <c r="CH51" s="69"/>
      <c r="CI51" s="69"/>
      <c r="CJ51" s="69"/>
      <c r="CK51" s="69"/>
      <c r="CL51" s="69"/>
      <c r="CM51" s="69"/>
      <c r="CN51" s="69"/>
      <c r="CO51" s="69"/>
      <c r="CP51" s="69"/>
      <c r="CQ51" s="69"/>
      <c r="CR51" s="69"/>
      <c r="CS51" s="69"/>
      <c r="CT51" s="69"/>
      <c r="CU51" s="69"/>
      <c r="CV51" s="69"/>
      <c r="CW51" s="69"/>
      <c r="CX51" s="69"/>
      <c r="CY51" s="69"/>
      <c r="CZ51" s="69"/>
      <c r="DA51" s="69"/>
      <c r="DB51" s="69"/>
      <c r="DC51" s="69"/>
      <c r="DD51" s="69"/>
      <c r="DE51" s="69"/>
      <c r="DF51" s="69"/>
      <c r="DG51" s="69"/>
      <c r="DH51" s="69"/>
      <c r="DI51" s="69"/>
      <c r="DJ51" s="69"/>
      <c r="DK51" s="69"/>
      <c r="DL51" s="69"/>
      <c r="DM51" s="69"/>
      <c r="DN51" s="69"/>
      <c r="DO51" s="69"/>
      <c r="DP51" s="69"/>
      <c r="DQ51" s="69"/>
      <c r="DR51" s="69"/>
      <c r="DS51" s="69"/>
      <c r="DT51" s="69"/>
      <c r="DU51" s="69"/>
      <c r="DV51" s="69"/>
      <c r="DW51" s="69"/>
      <c r="DX51" s="69"/>
      <c r="DY51" s="69"/>
    </row>
    <row r="52" spans="1:129" x14ac:dyDescent="0.2">
      <c r="A52" s="80" t="s">
        <v>371</v>
      </c>
      <c r="B52" s="84">
        <f>B37</f>
        <v>20.221835964903626</v>
      </c>
      <c r="C52" s="84">
        <f>B38</f>
        <v>35.615813960765742</v>
      </c>
      <c r="D52" s="84">
        <f>ABS(C52-B52)</f>
        <v>15.393977995862116</v>
      </c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69"/>
      <c r="CA52" s="69"/>
      <c r="CB52" s="69"/>
      <c r="CC52" s="69"/>
      <c r="CD52" s="69"/>
      <c r="CE52" s="69"/>
      <c r="CF52" s="69"/>
      <c r="CG52" s="69"/>
      <c r="CH52" s="69"/>
      <c r="CI52" s="69"/>
      <c r="CJ52" s="69"/>
      <c r="CK52" s="69"/>
      <c r="CL52" s="69"/>
      <c r="CM52" s="69"/>
      <c r="CN52" s="69"/>
      <c r="CO52" s="69"/>
      <c r="CP52" s="69"/>
      <c r="CQ52" s="69"/>
      <c r="CR52" s="69"/>
      <c r="CS52" s="69"/>
      <c r="CT52" s="69"/>
      <c r="CU52" s="69"/>
      <c r="CV52" s="69"/>
      <c r="CW52" s="69"/>
      <c r="CX52" s="69"/>
      <c r="CY52" s="69"/>
      <c r="CZ52" s="69"/>
      <c r="DA52" s="69"/>
      <c r="DB52" s="69"/>
      <c r="DC52" s="69"/>
      <c r="DD52" s="69"/>
      <c r="DE52" s="69"/>
      <c r="DF52" s="69"/>
      <c r="DG52" s="69"/>
      <c r="DH52" s="69"/>
      <c r="DI52" s="69"/>
      <c r="DJ52" s="69"/>
      <c r="DK52" s="69"/>
      <c r="DL52" s="69"/>
      <c r="DM52" s="69"/>
      <c r="DN52" s="69"/>
      <c r="DO52" s="69"/>
      <c r="DP52" s="69"/>
      <c r="DQ52" s="69"/>
      <c r="DR52" s="69"/>
      <c r="DS52" s="69"/>
      <c r="DT52" s="69"/>
      <c r="DU52" s="69"/>
      <c r="DV52" s="69"/>
      <c r="DW52" s="69"/>
      <c r="DX52" s="69"/>
      <c r="DY52" s="69"/>
    </row>
    <row r="53" spans="1:129" x14ac:dyDescent="0.2">
      <c r="A53" s="80" t="s">
        <v>372</v>
      </c>
      <c r="B53" s="84">
        <f>B39</f>
        <v>31.171160741951113</v>
      </c>
      <c r="C53" s="84">
        <f>B40</f>
        <v>22.873982780925409</v>
      </c>
      <c r="D53" s="84">
        <f>ABS(C53-B53)</f>
        <v>8.297177961025703</v>
      </c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  <c r="CG53" s="69"/>
      <c r="CH53" s="69"/>
      <c r="CI53" s="69"/>
      <c r="CJ53" s="69"/>
      <c r="CK53" s="69"/>
      <c r="CL53" s="69"/>
      <c r="CM53" s="69"/>
      <c r="CN53" s="69"/>
      <c r="CO53" s="69"/>
      <c r="CP53" s="69"/>
      <c r="CQ53" s="69"/>
      <c r="CR53" s="69"/>
      <c r="CS53" s="69"/>
      <c r="CT53" s="69"/>
      <c r="CU53" s="69"/>
      <c r="CV53" s="69"/>
      <c r="CW53" s="69"/>
      <c r="CX53" s="69"/>
      <c r="CY53" s="69"/>
      <c r="CZ53" s="69"/>
      <c r="DA53" s="69"/>
      <c r="DB53" s="69"/>
      <c r="DC53" s="69"/>
      <c r="DD53" s="69"/>
      <c r="DE53" s="69"/>
      <c r="DF53" s="69"/>
      <c r="DG53" s="69"/>
      <c r="DH53" s="69"/>
      <c r="DI53" s="69"/>
      <c r="DJ53" s="69"/>
      <c r="DK53" s="69"/>
      <c r="DL53" s="69"/>
      <c r="DM53" s="69"/>
      <c r="DN53" s="69"/>
      <c r="DO53" s="69"/>
      <c r="DP53" s="69"/>
      <c r="DQ53" s="69"/>
      <c r="DR53" s="69"/>
      <c r="DS53" s="69"/>
      <c r="DT53" s="69"/>
      <c r="DU53" s="69"/>
      <c r="DV53" s="69"/>
      <c r="DW53" s="69"/>
      <c r="DX53" s="69"/>
      <c r="DY53" s="69"/>
    </row>
    <row r="54" spans="1:129" x14ac:dyDescent="0.2">
      <c r="A54" s="80" t="s">
        <v>373</v>
      </c>
      <c r="B54" s="84">
        <f>B41</f>
        <v>22.07405549908685</v>
      </c>
      <c r="C54" s="84">
        <f>B36</f>
        <v>27.653366990658895</v>
      </c>
      <c r="D54" s="84">
        <f>ABS(C54-B54)</f>
        <v>5.5793114915720459</v>
      </c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69"/>
      <c r="CX54" s="69"/>
      <c r="CY54" s="69"/>
      <c r="CZ54" s="69"/>
      <c r="DA54" s="69"/>
      <c r="DB54" s="69"/>
      <c r="DC54" s="69"/>
      <c r="DD54" s="69"/>
      <c r="DE54" s="69"/>
      <c r="DF54" s="69"/>
      <c r="DG54" s="69"/>
      <c r="DH54" s="69"/>
      <c r="DI54" s="69"/>
      <c r="DJ54" s="69"/>
      <c r="DK54" s="69"/>
      <c r="DL54" s="69"/>
      <c r="DM54" s="69"/>
      <c r="DN54" s="69"/>
      <c r="DO54" s="69"/>
      <c r="DP54" s="69"/>
      <c r="DQ54" s="69"/>
      <c r="DR54" s="69"/>
      <c r="DS54" s="69"/>
      <c r="DT54" s="69"/>
      <c r="DU54" s="69"/>
      <c r="DV54" s="69"/>
      <c r="DW54" s="69"/>
      <c r="DX54" s="69"/>
      <c r="DY54" s="69"/>
    </row>
    <row r="55" spans="1:129" x14ac:dyDescent="0.2">
      <c r="A55" s="108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  <c r="CP55" s="69"/>
      <c r="CQ55" s="69"/>
      <c r="CR55" s="69"/>
      <c r="CS55" s="69"/>
      <c r="CT55" s="69"/>
      <c r="CU55" s="69"/>
      <c r="CV55" s="69"/>
      <c r="CW55" s="69"/>
      <c r="CX55" s="69"/>
      <c r="CY55" s="69"/>
      <c r="CZ55" s="69"/>
      <c r="DA55" s="69"/>
      <c r="DB55" s="69"/>
      <c r="DC55" s="69"/>
      <c r="DD55" s="69"/>
      <c r="DE55" s="69"/>
      <c r="DF55" s="69"/>
      <c r="DG55" s="69"/>
      <c r="DH55" s="69"/>
      <c r="DI55" s="69"/>
      <c r="DJ55" s="69"/>
      <c r="DK55" s="69"/>
      <c r="DL55" s="69"/>
      <c r="DM55" s="69"/>
      <c r="DN55" s="69"/>
      <c r="DO55" s="69"/>
      <c r="DP55" s="69"/>
      <c r="DQ55" s="69"/>
      <c r="DR55" s="69"/>
      <c r="DS55" s="69"/>
      <c r="DT55" s="69"/>
      <c r="DU55" s="69"/>
      <c r="DV55" s="69"/>
      <c r="DW55" s="69"/>
      <c r="DX55" s="69"/>
      <c r="DY55" s="69"/>
    </row>
    <row r="56" spans="1:129" x14ac:dyDescent="0.2">
      <c r="A56" s="141" t="s">
        <v>374</v>
      </c>
      <c r="B56" s="142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  <c r="BU56" s="69"/>
      <c r="BV56" s="69"/>
      <c r="BW56" s="69"/>
      <c r="BX56" s="69"/>
      <c r="BY56" s="69"/>
      <c r="BZ56" s="69"/>
      <c r="CA56" s="69"/>
      <c r="CB56" s="69"/>
      <c r="CC56" s="69"/>
      <c r="CD56" s="69"/>
      <c r="CE56" s="69"/>
      <c r="CF56" s="69"/>
      <c r="CG56" s="69"/>
      <c r="CH56" s="69"/>
      <c r="CI56" s="69"/>
      <c r="CJ56" s="69"/>
      <c r="CK56" s="69"/>
      <c r="CL56" s="69"/>
      <c r="CM56" s="69"/>
      <c r="CN56" s="69"/>
      <c r="CO56" s="69"/>
      <c r="CP56" s="69"/>
      <c r="CQ56" s="69"/>
      <c r="CR56" s="69"/>
      <c r="CS56" s="69"/>
      <c r="CT56" s="69"/>
      <c r="CU56" s="69"/>
      <c r="CV56" s="69"/>
      <c r="CW56" s="69"/>
      <c r="CX56" s="69"/>
      <c r="CY56" s="69"/>
      <c r="CZ56" s="69"/>
      <c r="DA56" s="69"/>
      <c r="DB56" s="69"/>
      <c r="DC56" s="69"/>
      <c r="DD56" s="69"/>
      <c r="DE56" s="69"/>
      <c r="DF56" s="69"/>
      <c r="DG56" s="69"/>
      <c r="DH56" s="69"/>
      <c r="DI56" s="69"/>
      <c r="DJ56" s="69"/>
      <c r="DK56" s="69"/>
      <c r="DL56" s="69"/>
      <c r="DM56" s="69"/>
      <c r="DN56" s="69"/>
      <c r="DO56" s="69"/>
      <c r="DP56" s="69"/>
      <c r="DQ56" s="69"/>
      <c r="DR56" s="69"/>
      <c r="DS56" s="69"/>
      <c r="DT56" s="69"/>
      <c r="DU56" s="69"/>
      <c r="DV56" s="69"/>
      <c r="DW56" s="69"/>
      <c r="DX56" s="69"/>
      <c r="DY56" s="69"/>
    </row>
    <row r="57" spans="1:129" x14ac:dyDescent="0.2">
      <c r="A57" s="80" t="s">
        <v>375</v>
      </c>
      <c r="B57" s="65">
        <f>B36</f>
        <v>27.653366990658895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69"/>
      <c r="CA57" s="69"/>
      <c r="CB57" s="69"/>
      <c r="CC57" s="69"/>
      <c r="CD57" s="69"/>
      <c r="CE57" s="69"/>
      <c r="CF57" s="69"/>
      <c r="CG57" s="69"/>
      <c r="CH57" s="69"/>
      <c r="CI57" s="69"/>
      <c r="CJ57" s="69"/>
      <c r="CK57" s="69"/>
      <c r="CL57" s="69"/>
      <c r="CM57" s="69"/>
      <c r="CN57" s="69"/>
      <c r="CO57" s="69"/>
      <c r="CP57" s="69"/>
      <c r="CQ57" s="69"/>
      <c r="CR57" s="69"/>
      <c r="CS57" s="69"/>
      <c r="CT57" s="69"/>
      <c r="CU57" s="69"/>
      <c r="CV57" s="69"/>
      <c r="CW57" s="69"/>
      <c r="CX57" s="69"/>
      <c r="CY57" s="69"/>
      <c r="CZ57" s="69"/>
      <c r="DA57" s="69"/>
      <c r="DB57" s="69"/>
      <c r="DC57" s="69"/>
      <c r="DD57" s="69"/>
      <c r="DE57" s="69"/>
      <c r="DF57" s="69"/>
      <c r="DG57" s="69"/>
      <c r="DH57" s="69"/>
      <c r="DI57" s="69"/>
      <c r="DJ57" s="69"/>
      <c r="DK57" s="69"/>
      <c r="DL57" s="69"/>
      <c r="DM57" s="69"/>
      <c r="DN57" s="69"/>
      <c r="DO57" s="69"/>
      <c r="DP57" s="69"/>
      <c r="DQ57" s="69"/>
      <c r="DR57" s="69"/>
      <c r="DS57" s="69"/>
      <c r="DT57" s="69"/>
      <c r="DU57" s="69"/>
      <c r="DV57" s="69"/>
      <c r="DW57" s="69"/>
      <c r="DX57" s="69"/>
      <c r="DY57" s="69"/>
    </row>
    <row r="58" spans="1:129" x14ac:dyDescent="0.2">
      <c r="A58" s="80" t="s">
        <v>376</v>
      </c>
      <c r="B58" s="84">
        <f>(B38-B37)/((Inputs!$C$88-Inputs!$C$87)/Inputs!$C$82)*0.1</f>
        <v>3.4735129836817067</v>
      </c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  <c r="CY58" s="69"/>
      <c r="CZ58" s="69"/>
      <c r="DA58" s="69"/>
      <c r="DB58" s="69"/>
      <c r="DC58" s="69"/>
      <c r="DD58" s="69"/>
      <c r="DE58" s="69"/>
      <c r="DF58" s="69"/>
      <c r="DG58" s="69"/>
      <c r="DH58" s="69"/>
      <c r="DI58" s="69"/>
      <c r="DJ58" s="69"/>
      <c r="DK58" s="69"/>
      <c r="DL58" s="69"/>
      <c r="DM58" s="69"/>
      <c r="DN58" s="69"/>
      <c r="DO58" s="69"/>
      <c r="DP58" s="69"/>
      <c r="DQ58" s="69"/>
      <c r="DR58" s="69"/>
      <c r="DS58" s="69"/>
      <c r="DT58" s="69"/>
      <c r="DU58" s="69"/>
      <c r="DV58" s="69"/>
      <c r="DW58" s="69"/>
      <c r="DX58" s="69"/>
      <c r="DY58" s="69"/>
    </row>
    <row r="59" spans="1:129" x14ac:dyDescent="0.2">
      <c r="A59" s="80" t="s">
        <v>377</v>
      </c>
      <c r="B59" s="85">
        <f>Costs!$B$9</f>
        <v>135.11552831562497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/>
      <c r="CK59" s="69"/>
      <c r="CL59" s="69"/>
      <c r="CM59" s="69"/>
      <c r="CN59" s="69"/>
      <c r="CO59" s="69"/>
      <c r="CP59" s="69"/>
      <c r="CQ59" s="69"/>
      <c r="CR59" s="69"/>
      <c r="CS59" s="69"/>
      <c r="CT59" s="69"/>
      <c r="CU59" s="69"/>
      <c r="CV59" s="69"/>
      <c r="CW59" s="69"/>
      <c r="CX59" s="69"/>
      <c r="CY59" s="69"/>
      <c r="CZ59" s="69"/>
      <c r="DA59" s="69"/>
      <c r="DB59" s="69"/>
      <c r="DC59" s="69"/>
      <c r="DD59" s="69"/>
      <c r="DE59" s="69"/>
      <c r="DF59" s="69"/>
      <c r="DG59" s="69"/>
      <c r="DH59" s="69"/>
      <c r="DI59" s="69"/>
      <c r="DJ59" s="69"/>
      <c r="DK59" s="69"/>
      <c r="DL59" s="69"/>
      <c r="DM59" s="69"/>
      <c r="DN59" s="69"/>
      <c r="DO59" s="69"/>
      <c r="DP59" s="69"/>
      <c r="DQ59" s="69"/>
      <c r="DR59" s="69"/>
      <c r="DS59" s="69"/>
      <c r="DT59" s="69"/>
      <c r="DU59" s="69"/>
      <c r="DV59" s="69"/>
      <c r="DW59" s="69"/>
      <c r="DX59" s="69"/>
      <c r="DY59" s="69"/>
    </row>
    <row r="60" spans="1:129" x14ac:dyDescent="0.2">
      <c r="A60" s="108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69"/>
      <c r="CA60" s="69"/>
      <c r="CB60" s="69"/>
      <c r="CC60" s="69"/>
      <c r="CD60" s="69"/>
      <c r="CE60" s="69"/>
      <c r="CF60" s="69"/>
      <c r="CG60" s="69"/>
      <c r="CH60" s="69"/>
      <c r="CI60" s="69"/>
      <c r="CJ60" s="69"/>
      <c r="CK60" s="69"/>
      <c r="CL60" s="69"/>
      <c r="CM60" s="69"/>
      <c r="CN60" s="69"/>
      <c r="CO60" s="69"/>
      <c r="CP60" s="69"/>
      <c r="CQ60" s="69"/>
      <c r="CR60" s="69"/>
      <c r="CS60" s="69"/>
      <c r="CT60" s="69"/>
      <c r="CU60" s="69"/>
      <c r="CV60" s="69"/>
      <c r="CW60" s="69"/>
      <c r="CX60" s="69"/>
      <c r="CY60" s="69"/>
      <c r="CZ60" s="69"/>
      <c r="DA60" s="69"/>
      <c r="DB60" s="69"/>
      <c r="DC60" s="69"/>
      <c r="DD60" s="69"/>
      <c r="DE60" s="69"/>
      <c r="DF60" s="69"/>
      <c r="DG60" s="69"/>
      <c r="DH60" s="69"/>
      <c r="DI60" s="69"/>
      <c r="DJ60" s="69"/>
      <c r="DK60" s="69"/>
      <c r="DL60" s="69"/>
      <c r="DM60" s="69"/>
      <c r="DN60" s="69"/>
      <c r="DO60" s="69"/>
      <c r="DP60" s="69"/>
      <c r="DQ60" s="69"/>
      <c r="DR60" s="69"/>
      <c r="DS60" s="69"/>
      <c r="DT60" s="69"/>
      <c r="DU60" s="69"/>
      <c r="DV60" s="69"/>
      <c r="DW60" s="69"/>
      <c r="DX60" s="69"/>
      <c r="DY60" s="69"/>
    </row>
    <row r="61" spans="1:129" x14ac:dyDescent="0.2">
      <c r="A61" s="153" t="s">
        <v>507</v>
      </c>
      <c r="B61" s="153"/>
      <c r="C61" s="153"/>
      <c r="D61" s="153"/>
      <c r="E61" s="153"/>
      <c r="F61" s="69"/>
      <c r="G61" s="69"/>
      <c r="H61" s="69"/>
      <c r="I61" s="69"/>
      <c r="J61" s="68" t="s">
        <v>378</v>
      </c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  <c r="CP61" s="69"/>
      <c r="CQ61" s="69"/>
      <c r="CR61" s="69"/>
      <c r="CS61" s="69"/>
      <c r="CT61" s="69"/>
      <c r="CU61" s="69"/>
      <c r="CV61" s="69"/>
      <c r="CW61" s="69"/>
      <c r="CX61" s="69"/>
      <c r="CY61" s="69"/>
      <c r="CZ61" s="69"/>
      <c r="DA61" s="69"/>
      <c r="DB61" s="69"/>
      <c r="DC61" s="69"/>
      <c r="DD61" s="69"/>
      <c r="DE61" s="69"/>
      <c r="DF61" s="69"/>
      <c r="DG61" s="69"/>
      <c r="DH61" s="69"/>
      <c r="DI61" s="69"/>
      <c r="DJ61" s="69"/>
      <c r="DK61" s="69"/>
      <c r="DL61" s="69"/>
      <c r="DM61" s="69"/>
      <c r="DN61" s="69"/>
      <c r="DO61" s="69"/>
      <c r="DP61" s="69"/>
      <c r="DQ61" s="69"/>
      <c r="DR61" s="69"/>
      <c r="DS61" s="69"/>
      <c r="DT61" s="69"/>
      <c r="DU61" s="69"/>
      <c r="DV61" s="69"/>
      <c r="DW61" s="69"/>
      <c r="DX61" s="69"/>
      <c r="DY61" s="69"/>
    </row>
    <row r="62" spans="1:129" ht="42" x14ac:dyDescent="0.2">
      <c r="A62" s="79" t="s">
        <v>379</v>
      </c>
      <c r="B62" s="79" t="s">
        <v>1</v>
      </c>
      <c r="C62" s="79" t="s">
        <v>380</v>
      </c>
      <c r="D62" s="79" t="s">
        <v>381</v>
      </c>
      <c r="E62" s="79" t="s">
        <v>382</v>
      </c>
      <c r="F62" s="69"/>
      <c r="G62" s="69"/>
      <c r="H62" s="71" t="s">
        <v>366</v>
      </c>
      <c r="I62" s="69"/>
      <c r="J62" s="72">
        <f>Results!$B$23</f>
        <v>-3.6346341261150883E-6</v>
      </c>
      <c r="K62" s="76">
        <v>0.2</v>
      </c>
      <c r="L62" s="76">
        <v>0.21</v>
      </c>
      <c r="M62" s="76">
        <v>0.22</v>
      </c>
      <c r="N62" s="76">
        <v>0.23</v>
      </c>
      <c r="O62" s="76">
        <v>0.24</v>
      </c>
      <c r="P62" s="76">
        <v>0.25</v>
      </c>
      <c r="Q62" s="76">
        <v>0.26</v>
      </c>
      <c r="R62" s="76">
        <v>0.27</v>
      </c>
      <c r="S62" s="76">
        <v>0.28000000000000003</v>
      </c>
      <c r="T62" s="76">
        <v>0.28999999999999998</v>
      </c>
      <c r="U62" s="76">
        <v>0.3</v>
      </c>
      <c r="V62" s="76">
        <v>0.31</v>
      </c>
      <c r="W62" s="76">
        <v>0.32</v>
      </c>
      <c r="X62" s="76">
        <v>0.33</v>
      </c>
      <c r="Y62" s="76">
        <v>0.34</v>
      </c>
      <c r="Z62" s="76">
        <v>0.35</v>
      </c>
      <c r="AA62" s="76">
        <v>0.36</v>
      </c>
      <c r="AB62" s="76">
        <v>0.37</v>
      </c>
      <c r="AC62" s="76">
        <v>0.38</v>
      </c>
      <c r="AD62" s="76">
        <v>0.39</v>
      </c>
      <c r="AE62" s="76">
        <v>0.4</v>
      </c>
      <c r="AF62" s="76">
        <v>0.41</v>
      </c>
      <c r="AG62" s="76">
        <v>0.42</v>
      </c>
      <c r="AH62" s="76">
        <v>0.43</v>
      </c>
      <c r="AI62" s="76">
        <v>0.44</v>
      </c>
      <c r="AJ62" s="76">
        <v>0.45</v>
      </c>
      <c r="AK62" s="76">
        <v>0.46</v>
      </c>
      <c r="AL62" s="76">
        <v>0.47</v>
      </c>
      <c r="AM62" s="76">
        <v>0.48</v>
      </c>
      <c r="AN62" s="76">
        <v>0.49</v>
      </c>
      <c r="AO62" s="76">
        <v>0.5</v>
      </c>
      <c r="AP62" s="76">
        <v>0.51</v>
      </c>
      <c r="AQ62" s="76">
        <v>0.52</v>
      </c>
      <c r="AR62" s="76">
        <v>0.53</v>
      </c>
      <c r="AS62" s="76">
        <v>0.54</v>
      </c>
      <c r="AT62" s="76">
        <v>0.55000000000000004</v>
      </c>
      <c r="AU62" s="76">
        <v>0.56000000000000005</v>
      </c>
      <c r="AV62" s="76">
        <v>0.56999999999999995</v>
      </c>
      <c r="AW62" s="76">
        <v>0.57999999999999996</v>
      </c>
      <c r="AX62" s="76">
        <v>0.59</v>
      </c>
      <c r="AY62" s="76">
        <v>0.6</v>
      </c>
      <c r="AZ62" s="76">
        <v>0.61</v>
      </c>
      <c r="BA62" s="76">
        <v>0.62</v>
      </c>
      <c r="BB62" s="76">
        <v>0.63</v>
      </c>
      <c r="BC62" s="76">
        <v>0.64</v>
      </c>
      <c r="BD62" s="76">
        <v>0.65</v>
      </c>
      <c r="BE62" s="76">
        <v>0.66</v>
      </c>
      <c r="BF62" s="76">
        <v>0.67</v>
      </c>
      <c r="BG62" s="76">
        <v>0.68</v>
      </c>
      <c r="BH62" s="76">
        <v>0.69</v>
      </c>
      <c r="BI62" s="76">
        <v>0.7</v>
      </c>
      <c r="BJ62" s="76">
        <v>0.71</v>
      </c>
      <c r="BK62" s="76">
        <v>0.72</v>
      </c>
      <c r="BL62" s="76">
        <v>0.73</v>
      </c>
      <c r="BM62" s="76">
        <v>0.74</v>
      </c>
      <c r="BN62" s="76">
        <v>0.75</v>
      </c>
      <c r="BO62" s="76">
        <v>0.76</v>
      </c>
      <c r="BP62" s="76">
        <v>0.77</v>
      </c>
      <c r="BQ62" s="76">
        <v>0.78</v>
      </c>
      <c r="BR62" s="76">
        <v>0.79</v>
      </c>
      <c r="BS62" s="76">
        <v>0.8</v>
      </c>
      <c r="BT62" s="76">
        <v>0.81</v>
      </c>
      <c r="BU62" s="76">
        <v>0.82</v>
      </c>
      <c r="BV62" s="76">
        <v>0.83</v>
      </c>
      <c r="BW62" s="76">
        <v>0.84</v>
      </c>
      <c r="BX62" s="76">
        <v>0.85</v>
      </c>
      <c r="BY62" s="76">
        <v>0.86</v>
      </c>
      <c r="BZ62" s="76">
        <v>0.87</v>
      </c>
      <c r="CA62" s="76">
        <v>0.88</v>
      </c>
      <c r="CB62" s="76">
        <v>0.89</v>
      </c>
      <c r="CC62" s="76">
        <v>0.9</v>
      </c>
      <c r="CD62" s="76">
        <v>0.91</v>
      </c>
      <c r="CE62" s="76">
        <v>0.92</v>
      </c>
      <c r="CF62" s="76">
        <v>0.93</v>
      </c>
      <c r="CG62" s="76">
        <v>0.94</v>
      </c>
      <c r="CH62" s="76">
        <v>0.95</v>
      </c>
      <c r="CI62" s="76">
        <v>0.96</v>
      </c>
      <c r="CJ62" s="76">
        <v>0.97</v>
      </c>
      <c r="CK62" s="76">
        <v>0.98</v>
      </c>
      <c r="CL62" s="76">
        <v>0.99</v>
      </c>
      <c r="CM62" s="76">
        <v>1</v>
      </c>
      <c r="CN62" s="76">
        <v>1.01</v>
      </c>
      <c r="CO62" s="76">
        <v>1.02</v>
      </c>
      <c r="CP62" s="76">
        <v>1.03</v>
      </c>
      <c r="CQ62" s="76">
        <v>1.04</v>
      </c>
      <c r="CR62" s="76">
        <v>1.05</v>
      </c>
      <c r="CS62" s="76">
        <v>1.06</v>
      </c>
      <c r="CT62" s="76">
        <v>1.07</v>
      </c>
      <c r="CU62" s="76">
        <v>1.08</v>
      </c>
      <c r="CV62" s="76">
        <v>1.0900000000000001</v>
      </c>
      <c r="CW62" s="76">
        <v>1.1000000000000001</v>
      </c>
      <c r="CX62" s="76">
        <v>1.1100000000000001</v>
      </c>
      <c r="CY62" s="76">
        <v>1.1200000000000001</v>
      </c>
      <c r="CZ62" s="76">
        <v>1.1299999999999999</v>
      </c>
      <c r="DA62" s="76">
        <v>1.1399999999999999</v>
      </c>
      <c r="DB62" s="76">
        <v>1.1499999999999999</v>
      </c>
      <c r="DC62" s="76">
        <v>1.1599999999999999</v>
      </c>
      <c r="DD62" s="76">
        <v>1.17</v>
      </c>
      <c r="DE62" s="76">
        <v>1.18</v>
      </c>
      <c r="DF62" s="76">
        <v>1.19</v>
      </c>
      <c r="DG62" s="76">
        <v>1.2</v>
      </c>
      <c r="DH62" s="76">
        <v>1.21</v>
      </c>
      <c r="DI62" s="76">
        <v>1.22</v>
      </c>
      <c r="DJ62" s="76">
        <v>1.23</v>
      </c>
      <c r="DK62" s="76">
        <v>1.24</v>
      </c>
      <c r="DL62" s="76">
        <v>1.25</v>
      </c>
      <c r="DM62" s="76">
        <v>1.26</v>
      </c>
      <c r="DN62" s="76">
        <v>1.27</v>
      </c>
      <c r="DO62" s="76">
        <v>1.28</v>
      </c>
      <c r="DP62" s="76">
        <v>1.29</v>
      </c>
      <c r="DQ62" s="76">
        <v>1.3</v>
      </c>
      <c r="DR62" s="69"/>
      <c r="DS62" s="69"/>
      <c r="DT62" s="69"/>
      <c r="DU62" s="69"/>
      <c r="DV62" s="69"/>
      <c r="DW62" s="69"/>
      <c r="DX62" s="69"/>
      <c r="DY62" s="69"/>
    </row>
    <row r="63" spans="1:129" x14ac:dyDescent="0.2">
      <c r="A63" s="83">
        <v>35</v>
      </c>
      <c r="B63" s="80" t="s">
        <v>383</v>
      </c>
      <c r="C63" s="154">
        <f t="shared" ref="C63:C68" si="7">INDEX($K$62:$DQ$62,$H63)+INDEX($K63:$DQ63,$H63)*(INDEX($K$62:$DQ$62,$H63+1)-INDEX($K$62:$DQ$62,$H63))/(INDEX($K63:$DQ63,$H63)-INDEX($K63:$DQ63,$H63+1))</f>
        <v>1.0645242299193243</v>
      </c>
      <c r="D63" s="114">
        <f>C63/Inputs!$C$82-1</f>
        <v>0.20968662490832313</v>
      </c>
      <c r="E63" s="86">
        <f>(Technical!$B$33*Inputs!$C$19+Technical!$B$32*Inputs!$C$20)/10^6*Costs!$B$8*C63</f>
        <v>163.44744742083333</v>
      </c>
      <c r="F63" s="69"/>
      <c r="G63" s="69"/>
      <c r="H63" s="70">
        <f t="shared" ref="H63:H68" si="8">MATCH(0,$K63:$DQ63,-1)</f>
        <v>87</v>
      </c>
      <c r="I63" s="69"/>
      <c r="J63" s="77">
        <f t="shared" ref="J63:J68" si="9">A63</f>
        <v>35</v>
      </c>
      <c r="K63" s="69">
        <f t="dataTable" ref="K63:DQ68" dt2D="1" dtr="1" r1="B16" r2="B7"/>
        <v>142.35395222910071</v>
      </c>
      <c r="L63" s="69">
        <v>140.79576955376217</v>
      </c>
      <c r="M63" s="69">
        <v>139.23758687842363</v>
      </c>
      <c r="N63" s="69">
        <v>137.67940420308511</v>
      </c>
      <c r="O63" s="69">
        <v>136.12122152774657</v>
      </c>
      <c r="P63" s="69">
        <v>134.56303885240803</v>
      </c>
      <c r="Q63" s="69">
        <v>133.00485617706946</v>
      </c>
      <c r="R63" s="69">
        <v>131.44667350173091</v>
      </c>
      <c r="S63" s="69">
        <v>129.88849082639237</v>
      </c>
      <c r="T63" s="69">
        <v>128.33030815105383</v>
      </c>
      <c r="U63" s="69">
        <v>126.7721254757153</v>
      </c>
      <c r="V63" s="69">
        <v>125.21394280037677</v>
      </c>
      <c r="W63" s="69">
        <v>123.65576012503823</v>
      </c>
      <c r="X63" s="69">
        <v>122.09757744969968</v>
      </c>
      <c r="Y63" s="69">
        <v>120.53939477436114</v>
      </c>
      <c r="Z63" s="69">
        <v>118.98121209902258</v>
      </c>
      <c r="AA63" s="69">
        <v>117.42302942368403</v>
      </c>
      <c r="AB63" s="69">
        <v>115.86484674834551</v>
      </c>
      <c r="AC63" s="69">
        <v>114.30355160147332</v>
      </c>
      <c r="AD63" s="69">
        <v>112.7351406742201</v>
      </c>
      <c r="AE63" s="69">
        <v>111.16672974696681</v>
      </c>
      <c r="AF63" s="69">
        <v>109.59831881971357</v>
      </c>
      <c r="AG63" s="69">
        <v>108.0299078924603</v>
      </c>
      <c r="AH63" s="69">
        <v>106.46149696520709</v>
      </c>
      <c r="AI63" s="69">
        <v>104.89308603795385</v>
      </c>
      <c r="AJ63" s="69">
        <v>103.32434969002739</v>
      </c>
      <c r="AK63" s="69">
        <v>101.74207352493747</v>
      </c>
      <c r="AL63" s="69">
        <v>100.15979735984756</v>
      </c>
      <c r="AM63" s="69">
        <v>98.577521194757608</v>
      </c>
      <c r="AN63" s="69">
        <v>96.995245029667672</v>
      </c>
      <c r="AO63" s="69">
        <v>95.412968864577763</v>
      </c>
      <c r="AP63" s="69">
        <v>93.830692699487813</v>
      </c>
      <c r="AQ63" s="69">
        <v>92.248416534397919</v>
      </c>
      <c r="AR63" s="69">
        <v>90.666140369307968</v>
      </c>
      <c r="AS63" s="69">
        <v>89.072373260939088</v>
      </c>
      <c r="AT63" s="69">
        <v>87.474849935220604</v>
      </c>
      <c r="AU63" s="69">
        <v>85.877326609502134</v>
      </c>
      <c r="AV63" s="69">
        <v>84.279803283783679</v>
      </c>
      <c r="AW63" s="69">
        <v>82.668382324684757</v>
      </c>
      <c r="AX63" s="69">
        <v>81.037476216602101</v>
      </c>
      <c r="AY63" s="69">
        <v>79.390256221083646</v>
      </c>
      <c r="AZ63" s="69">
        <v>77.742955547266718</v>
      </c>
      <c r="BA63" s="69">
        <v>76.095654873449718</v>
      </c>
      <c r="BB63" s="69">
        <v>74.448354199632774</v>
      </c>
      <c r="BC63" s="69">
        <v>72.801053525815831</v>
      </c>
      <c r="BD63" s="69">
        <v>71.140590261462933</v>
      </c>
      <c r="BE63" s="69">
        <v>69.472171674677611</v>
      </c>
      <c r="BF63" s="69">
        <v>67.803753087892289</v>
      </c>
      <c r="BG63" s="69">
        <v>66.135334501106996</v>
      </c>
      <c r="BH63" s="69">
        <v>64.466915914321675</v>
      </c>
      <c r="BI63" s="69">
        <v>62.798497327536353</v>
      </c>
      <c r="BJ63" s="69">
        <v>61.130078740751017</v>
      </c>
      <c r="BK63" s="69">
        <v>59.46166015396571</v>
      </c>
      <c r="BL63" s="69">
        <v>57.77476968017352</v>
      </c>
      <c r="BM63" s="69">
        <v>56.086844712757681</v>
      </c>
      <c r="BN63" s="69">
        <v>54.398919745341857</v>
      </c>
      <c r="BO63" s="69">
        <v>52.710994777926018</v>
      </c>
      <c r="BP63" s="69">
        <v>51.023069810510194</v>
      </c>
      <c r="BQ63" s="69">
        <v>49.335144843094369</v>
      </c>
      <c r="BR63" s="69">
        <v>47.647219875678545</v>
      </c>
      <c r="BS63" s="69">
        <v>45.946750636730144</v>
      </c>
      <c r="BT63" s="69">
        <v>44.240791730887437</v>
      </c>
      <c r="BU63" s="69">
        <v>42.534832825044717</v>
      </c>
      <c r="BV63" s="69">
        <v>40.828873919202081</v>
      </c>
      <c r="BW63" s="69">
        <v>39.122915013359389</v>
      </c>
      <c r="BX63" s="69">
        <v>37.416956107516668</v>
      </c>
      <c r="BY63" s="69">
        <v>35.710997201674061</v>
      </c>
      <c r="BZ63" s="69">
        <v>33.991671124255959</v>
      </c>
      <c r="CA63" s="69">
        <v>32.269025202709415</v>
      </c>
      <c r="CB63" s="69">
        <v>30.545998457767524</v>
      </c>
      <c r="CC63" s="69">
        <v>28.817422881266637</v>
      </c>
      <c r="CD63" s="69">
        <v>27.088847304765778</v>
      </c>
      <c r="CE63" s="69">
        <v>25.360271728264891</v>
      </c>
      <c r="CF63" s="69">
        <v>23.624720416838898</v>
      </c>
      <c r="CG63" s="69">
        <v>21.879958703219685</v>
      </c>
      <c r="CH63" s="69">
        <v>20.135196989600473</v>
      </c>
      <c r="CI63" s="69">
        <v>18.390435275981261</v>
      </c>
      <c r="CJ63" s="69">
        <v>16.645673562362077</v>
      </c>
      <c r="CK63" s="69">
        <v>14.900911848742894</v>
      </c>
      <c r="CL63" s="69">
        <v>13.148287078108993</v>
      </c>
      <c r="CM63" s="69">
        <v>11.388548618513624</v>
      </c>
      <c r="CN63" s="69">
        <v>9.6288101589182133</v>
      </c>
      <c r="CO63" s="69">
        <v>7.8690716993227738</v>
      </c>
      <c r="CP63" s="69">
        <v>6.1093332397273912</v>
      </c>
      <c r="CQ63" s="69">
        <v>4.3495947801319943</v>
      </c>
      <c r="CR63" s="69">
        <v>2.5760278431123567</v>
      </c>
      <c r="CS63" s="69">
        <v>0.80242066571220505</v>
      </c>
      <c r="CT63" s="69">
        <v>-0.97118651168794656</v>
      </c>
      <c r="CU63" s="69">
        <v>-2.7447936890881408</v>
      </c>
      <c r="CV63" s="69">
        <v>-4.5184008664883066</v>
      </c>
      <c r="CW63" s="69">
        <v>-6.3020813567935221</v>
      </c>
      <c r="CX63" s="69">
        <v>-8.0885410432618983</v>
      </c>
      <c r="CY63" s="69">
        <v>-9.8750007297302176</v>
      </c>
      <c r="CZ63" s="69">
        <v>-11.661460416198594</v>
      </c>
      <c r="DA63" s="69">
        <v>-13.447920102666941</v>
      </c>
      <c r="DB63" s="69">
        <v>-15.244805937692377</v>
      </c>
      <c r="DC63" s="69">
        <v>-17.04318519674834</v>
      </c>
      <c r="DD63" s="69">
        <v>-18.84156445580436</v>
      </c>
      <c r="DE63" s="69">
        <v>-20.639943714860266</v>
      </c>
      <c r="DF63" s="69">
        <v>-22.465046844794216</v>
      </c>
      <c r="DG63" s="69">
        <v>-24.366673725429123</v>
      </c>
      <c r="DH63" s="69">
        <v>-26.268300606064074</v>
      </c>
      <c r="DI63" s="69">
        <v>-28.169927486698981</v>
      </c>
      <c r="DJ63" s="69">
        <v>-30.071554367333931</v>
      </c>
      <c r="DK63" s="69">
        <v>-31.973181247968824</v>
      </c>
      <c r="DL63" s="69">
        <v>-33.87480812860376</v>
      </c>
      <c r="DM63" s="69">
        <v>-35.77643500923871</v>
      </c>
      <c r="DN63" s="69">
        <v>-37.678061889873547</v>
      </c>
      <c r="DO63" s="69">
        <v>-39.579688770508483</v>
      </c>
      <c r="DP63" s="69">
        <v>-41.481315651143419</v>
      </c>
      <c r="DQ63" s="69">
        <v>-42.971358683470783</v>
      </c>
      <c r="DR63" s="69"/>
      <c r="DS63" s="69"/>
      <c r="DT63" s="69"/>
      <c r="DU63" s="69"/>
      <c r="DV63" s="69"/>
      <c r="DW63" s="69"/>
      <c r="DX63" s="69"/>
      <c r="DY63" s="69"/>
    </row>
    <row r="64" spans="1:129" x14ac:dyDescent="0.2">
      <c r="A64" s="83">
        <v>30</v>
      </c>
      <c r="B64" s="80" t="s">
        <v>383</v>
      </c>
      <c r="C64" s="154">
        <f t="shared" si="7"/>
        <v>0.93892067332941365</v>
      </c>
      <c r="D64" s="114">
        <f>C64/Inputs!$C$82-1</f>
        <v>6.695531060160631E-2</v>
      </c>
      <c r="E64" s="86">
        <f>(Technical!$B$33*Inputs!$C$19+Technical!$B$32*Inputs!$C$20)/10^6*Costs!$B$8*C64</f>
        <v>144.16223048109779</v>
      </c>
      <c r="F64" s="69"/>
      <c r="G64" s="69"/>
      <c r="H64" s="70">
        <f t="shared" si="8"/>
        <v>74</v>
      </c>
      <c r="I64" s="69"/>
      <c r="J64" s="77">
        <f t="shared" si="9"/>
        <v>30</v>
      </c>
      <c r="K64" s="69">
        <v>121.57831678399511</v>
      </c>
      <c r="L64" s="69">
        <v>120.02293686333104</v>
      </c>
      <c r="M64" s="69">
        <v>118.46755694266699</v>
      </c>
      <c r="N64" s="69">
        <v>116.91217702200288</v>
      </c>
      <c r="O64" s="69">
        <v>115.35679710133881</v>
      </c>
      <c r="P64" s="69">
        <v>113.80141718067475</v>
      </c>
      <c r="Q64" s="69">
        <v>112.24603726001067</v>
      </c>
      <c r="R64" s="69">
        <v>110.69065733934659</v>
      </c>
      <c r="S64" s="69">
        <v>109.13527741868249</v>
      </c>
      <c r="T64" s="69">
        <v>107.57989749801843</v>
      </c>
      <c r="U64" s="69">
        <v>106.02451757735437</v>
      </c>
      <c r="V64" s="69">
        <v>104.46913765669031</v>
      </c>
      <c r="W64" s="69">
        <v>102.91375773602621</v>
      </c>
      <c r="X64" s="69">
        <v>101.35837781536213</v>
      </c>
      <c r="Y64" s="69">
        <v>99.798919962360628</v>
      </c>
      <c r="Z64" s="69">
        <v>98.233299659152124</v>
      </c>
      <c r="AA64" s="69">
        <v>96.667679355943591</v>
      </c>
      <c r="AB64" s="69">
        <v>95.102059052735086</v>
      </c>
      <c r="AC64" s="69">
        <v>93.536438749526553</v>
      </c>
      <c r="AD64" s="69">
        <v>91.970818446318049</v>
      </c>
      <c r="AE64" s="69">
        <v>90.405198143109516</v>
      </c>
      <c r="AF64" s="69">
        <v>88.826513318173056</v>
      </c>
      <c r="AG64" s="69">
        <v>87.247008665165751</v>
      </c>
      <c r="AH64" s="69">
        <v>85.667504012158489</v>
      </c>
      <c r="AI64" s="69">
        <v>84.087999359151198</v>
      </c>
      <c r="AJ64" s="69">
        <v>82.508494706143949</v>
      </c>
      <c r="AK64" s="69">
        <v>80.928990053136701</v>
      </c>
      <c r="AL64" s="69">
        <v>79.349485400129424</v>
      </c>
      <c r="AM64" s="69">
        <v>77.760746114454321</v>
      </c>
      <c r="AN64" s="69">
        <v>76.165970209410844</v>
      </c>
      <c r="AO64" s="69">
        <v>74.571194304367339</v>
      </c>
      <c r="AP64" s="69">
        <v>72.976418399323805</v>
      </c>
      <c r="AQ64" s="69">
        <v>71.364685406279492</v>
      </c>
      <c r="AR64" s="69">
        <v>69.725962653314738</v>
      </c>
      <c r="AS64" s="69">
        <v>68.081319274641629</v>
      </c>
      <c r="AT64" s="69">
        <v>66.436675895968563</v>
      </c>
      <c r="AU64" s="69">
        <v>64.792032517295439</v>
      </c>
      <c r="AV64" s="69">
        <v>63.14738913862233</v>
      </c>
      <c r="AW64" s="69">
        <v>61.487438029244245</v>
      </c>
      <c r="AX64" s="69">
        <v>59.821637786618069</v>
      </c>
      <c r="AY64" s="69">
        <v>58.155837543991822</v>
      </c>
      <c r="AZ64" s="69">
        <v>56.490037301365618</v>
      </c>
      <c r="BA64" s="69">
        <v>54.824237058739428</v>
      </c>
      <c r="BB64" s="69">
        <v>53.158436816113195</v>
      </c>
      <c r="BC64" s="69">
        <v>51.492636573486976</v>
      </c>
      <c r="BD64" s="69">
        <v>49.80834771223266</v>
      </c>
      <c r="BE64" s="69">
        <v>48.123002207556468</v>
      </c>
      <c r="BF64" s="69">
        <v>46.43765670288019</v>
      </c>
      <c r="BG64" s="69">
        <v>44.752311198203984</v>
      </c>
      <c r="BH64" s="69">
        <v>43.066965693527763</v>
      </c>
      <c r="BI64" s="69">
        <v>41.381620188851514</v>
      </c>
      <c r="BJ64" s="69">
        <v>39.686290708384689</v>
      </c>
      <c r="BK64" s="69">
        <v>37.982873191307633</v>
      </c>
      <c r="BL64" s="69">
        <v>36.279455674230562</v>
      </c>
      <c r="BM64" s="69">
        <v>34.576038157153548</v>
      </c>
      <c r="BN64" s="69">
        <v>32.872620640076477</v>
      </c>
      <c r="BO64" s="69">
        <v>31.169203122999406</v>
      </c>
      <c r="BP64" s="69">
        <v>29.457842548945649</v>
      </c>
      <c r="BQ64" s="69">
        <v>27.737701315010483</v>
      </c>
      <c r="BR64" s="69">
        <v>26.017323876909288</v>
      </c>
      <c r="BS64" s="69">
        <v>24.291351114125348</v>
      </c>
      <c r="BT64" s="69">
        <v>22.565266156386116</v>
      </c>
      <c r="BU64" s="69">
        <v>20.839181198646941</v>
      </c>
      <c r="BV64" s="69">
        <v>19.099158351524906</v>
      </c>
      <c r="BW64" s="69">
        <v>17.35685061990911</v>
      </c>
      <c r="BX64" s="69">
        <v>15.614542888293258</v>
      </c>
      <c r="BY64" s="69">
        <v>13.872235156677462</v>
      </c>
      <c r="BZ64" s="69">
        <v>12.129927425061595</v>
      </c>
      <c r="CA64" s="69">
        <v>10.377744498788019</v>
      </c>
      <c r="CB64" s="69">
        <v>8.62042566800163</v>
      </c>
      <c r="CC64" s="69">
        <v>6.8631068372152839</v>
      </c>
      <c r="CD64" s="69">
        <v>5.1057880064288952</v>
      </c>
      <c r="CE64" s="69">
        <v>3.3484691756425491</v>
      </c>
      <c r="CF64" s="69">
        <v>1.5800469949166285</v>
      </c>
      <c r="CG64" s="69">
        <v>-0.19117243726101663</v>
      </c>
      <c r="CH64" s="69">
        <v>-1.9623918694386759</v>
      </c>
      <c r="CI64" s="69">
        <v>-3.7336113016163353</v>
      </c>
      <c r="CJ64" s="69">
        <v>-5.5076539984083297</v>
      </c>
      <c r="CK64" s="69">
        <v>-7.2917552449997487</v>
      </c>
      <c r="CL64" s="69">
        <v>-9.0758564915912245</v>
      </c>
      <c r="CM64" s="69">
        <v>-10.859957738182644</v>
      </c>
      <c r="CN64" s="69">
        <v>-12.644058984774105</v>
      </c>
      <c r="CO64" s="69">
        <v>-14.439025869914801</v>
      </c>
      <c r="CP64" s="69">
        <v>-16.235073370019805</v>
      </c>
      <c r="CQ64" s="69">
        <v>-18.031120870124795</v>
      </c>
      <c r="CR64" s="69">
        <v>-19.82716837022987</v>
      </c>
      <c r="CS64" s="69">
        <v>-21.712174369196646</v>
      </c>
      <c r="CT64" s="69">
        <v>-23.611694052418983</v>
      </c>
      <c r="CU64" s="69">
        <v>-25.511213735641334</v>
      </c>
      <c r="CV64" s="69">
        <v>-27.4107334188637</v>
      </c>
      <c r="CW64" s="69">
        <v>-29.310253102086065</v>
      </c>
      <c r="CX64" s="69">
        <v>-31.209772785308374</v>
      </c>
      <c r="CY64" s="69">
        <v>-33.109292468530768</v>
      </c>
      <c r="CZ64" s="69">
        <v>-35.008812151753091</v>
      </c>
      <c r="DA64" s="69">
        <v>-36.908331834975442</v>
      </c>
      <c r="DB64" s="69">
        <v>-38.275131494006985</v>
      </c>
      <c r="DC64" s="69">
        <v>-39.123874994639877</v>
      </c>
      <c r="DD64" s="69">
        <v>-39.97261849527284</v>
      </c>
      <c r="DE64" s="69">
        <v>-41.13527313755867</v>
      </c>
      <c r="DF64" s="69">
        <v>-43.075664341765986</v>
      </c>
      <c r="DG64" s="69">
        <v>-45.016055545973259</v>
      </c>
      <c r="DH64" s="69">
        <v>-46.956446750180604</v>
      </c>
      <c r="DI64" s="69">
        <v>-48.896837954387863</v>
      </c>
      <c r="DJ64" s="69">
        <v>-50.837229158595264</v>
      </c>
      <c r="DK64" s="69">
        <v>-52.777620362802537</v>
      </c>
      <c r="DL64" s="69">
        <v>-54.718011567009896</v>
      </c>
      <c r="DM64" s="69">
        <v>-56.65840277121724</v>
      </c>
      <c r="DN64" s="69">
        <v>-58.598793975424471</v>
      </c>
      <c r="DO64" s="69">
        <v>-60.539185179631815</v>
      </c>
      <c r="DP64" s="69">
        <v>-62.479576383839117</v>
      </c>
      <c r="DQ64" s="69">
        <v>-64.419967588046447</v>
      </c>
      <c r="DR64" s="69"/>
      <c r="DS64" s="69"/>
      <c r="DT64" s="69"/>
      <c r="DU64" s="69"/>
      <c r="DV64" s="69"/>
      <c r="DW64" s="69"/>
      <c r="DX64" s="69"/>
      <c r="DY64" s="69"/>
    </row>
    <row r="65" spans="1:129" x14ac:dyDescent="0.2">
      <c r="A65" s="83">
        <v>25</v>
      </c>
      <c r="B65" s="80" t="s">
        <v>383</v>
      </c>
      <c r="C65" s="154">
        <f t="shared" si="7"/>
        <v>0.81339780469783307</v>
      </c>
      <c r="D65" s="114">
        <f>C65/Inputs!$C$82-1</f>
        <v>-7.5684312843371515E-2</v>
      </c>
      <c r="E65" s="86">
        <f>(Technical!$B$33*Inputs!$C$19+Technical!$B$32*Inputs!$C$20)/10^6*Costs!$B$8*C65</f>
        <v>124.88940240058778</v>
      </c>
      <c r="F65" s="69"/>
      <c r="G65" s="69"/>
      <c r="H65" s="70">
        <f t="shared" si="8"/>
        <v>62</v>
      </c>
      <c r="I65" s="69"/>
      <c r="J65" s="77">
        <f t="shared" si="9"/>
        <v>25</v>
      </c>
      <c r="K65" s="69">
        <v>100.84730118521378</v>
      </c>
      <c r="L65" s="69">
        <v>99.295417538743123</v>
      </c>
      <c r="M65" s="69">
        <v>97.743533892272467</v>
      </c>
      <c r="N65" s="69">
        <v>96.191650245801796</v>
      </c>
      <c r="O65" s="69">
        <v>94.639766599331125</v>
      </c>
      <c r="P65" s="69">
        <v>93.087882952860497</v>
      </c>
      <c r="Q65" s="69">
        <v>91.53599930638984</v>
      </c>
      <c r="R65" s="69">
        <v>89.984115659919155</v>
      </c>
      <c r="S65" s="69">
        <v>88.432232013448498</v>
      </c>
      <c r="T65" s="69">
        <v>86.880348366977842</v>
      </c>
      <c r="U65" s="69">
        <v>85.323295236527827</v>
      </c>
      <c r="V65" s="69">
        <v>83.761156075254405</v>
      </c>
      <c r="W65" s="69">
        <v>82.199016913980998</v>
      </c>
      <c r="X65" s="69">
        <v>80.636877752707591</v>
      </c>
      <c r="Y65" s="69">
        <v>79.074738591434183</v>
      </c>
      <c r="Z65" s="69">
        <v>77.51259943016079</v>
      </c>
      <c r="AA65" s="69">
        <v>75.938333075514791</v>
      </c>
      <c r="AB65" s="69">
        <v>74.362285723376402</v>
      </c>
      <c r="AC65" s="69">
        <v>72.786238371238056</v>
      </c>
      <c r="AD65" s="69">
        <v>71.210191019099682</v>
      </c>
      <c r="AE65" s="69">
        <v>69.634143666961307</v>
      </c>
      <c r="AF65" s="69">
        <v>68.058096314822933</v>
      </c>
      <c r="AG65" s="69">
        <v>66.474845055348879</v>
      </c>
      <c r="AH65" s="69">
        <v>64.883496398537915</v>
      </c>
      <c r="AI65" s="69">
        <v>63.29214774172695</v>
      </c>
      <c r="AJ65" s="69">
        <v>61.700799084915978</v>
      </c>
      <c r="AK65" s="69">
        <v>60.083866778914562</v>
      </c>
      <c r="AL65" s="69">
        <v>58.442538222091677</v>
      </c>
      <c r="AM65" s="69">
        <v>56.801209665268793</v>
      </c>
      <c r="AN65" s="69">
        <v>55.159881108445909</v>
      </c>
      <c r="AO65" s="69">
        <v>53.518552551623053</v>
      </c>
      <c r="AP65" s="69">
        <v>51.859397556623485</v>
      </c>
      <c r="AQ65" s="69">
        <v>50.1968635467491</v>
      </c>
      <c r="AR65" s="69">
        <v>48.534329536874651</v>
      </c>
      <c r="AS65" s="69">
        <v>46.871795527000259</v>
      </c>
      <c r="AT65" s="69">
        <v>45.209261517125839</v>
      </c>
      <c r="AU65" s="69">
        <v>43.546727507251411</v>
      </c>
      <c r="AV65" s="69">
        <v>41.8653352844415</v>
      </c>
      <c r="AW65" s="69">
        <v>40.183207510197221</v>
      </c>
      <c r="AX65" s="69">
        <v>38.501079735952978</v>
      </c>
      <c r="AY65" s="69">
        <v>36.818951961708684</v>
      </c>
      <c r="AZ65" s="69">
        <v>35.136824187464406</v>
      </c>
      <c r="BA65" s="69">
        <v>33.446956240766774</v>
      </c>
      <c r="BB65" s="69">
        <v>31.746708959043382</v>
      </c>
      <c r="BC65" s="69">
        <v>30.046461677320011</v>
      </c>
      <c r="BD65" s="69">
        <v>28.346214395596654</v>
      </c>
      <c r="BE65" s="69">
        <v>26.645967113873276</v>
      </c>
      <c r="BF65" s="69">
        <v>24.942923804275168</v>
      </c>
      <c r="BG65" s="69">
        <v>23.225907023128606</v>
      </c>
      <c r="BH65" s="69">
        <v>21.5085833579584</v>
      </c>
      <c r="BI65" s="69">
        <v>19.785931812812869</v>
      </c>
      <c r="BJ65" s="69">
        <v>18.062953757786744</v>
      </c>
      <c r="BK65" s="69">
        <v>16.335013142849853</v>
      </c>
      <c r="BL65" s="69">
        <v>14.595766611712158</v>
      </c>
      <c r="BM65" s="69">
        <v>12.856520080574455</v>
      </c>
      <c r="BN65" s="69">
        <v>11.117273549436732</v>
      </c>
      <c r="BO65" s="69">
        <v>9.3780270182990506</v>
      </c>
      <c r="BP65" s="69">
        <v>7.6266174980564756</v>
      </c>
      <c r="BQ65" s="69">
        <v>5.8723170141271908</v>
      </c>
      <c r="BR65" s="69">
        <v>4.1180165301978491</v>
      </c>
      <c r="BS65" s="69">
        <v>2.3637160462685358</v>
      </c>
      <c r="BT65" s="69">
        <v>0.60081370950588564</v>
      </c>
      <c r="BU65" s="69">
        <v>-1.1674271487431298</v>
      </c>
      <c r="BV65" s="69">
        <v>-2.9356680069921168</v>
      </c>
      <c r="BW65" s="69">
        <v>-4.7039088652410896</v>
      </c>
      <c r="BX65" s="69">
        <v>-6.4808100010724843</v>
      </c>
      <c r="BY65" s="69">
        <v>-8.2619692304572681</v>
      </c>
      <c r="BZ65" s="69">
        <v>-10.043128459842123</v>
      </c>
      <c r="CA65" s="69">
        <v>-11.824287689226921</v>
      </c>
      <c r="CB65" s="69">
        <v>-13.616938640273318</v>
      </c>
      <c r="CC65" s="69">
        <v>-15.410077406082195</v>
      </c>
      <c r="CD65" s="69">
        <v>-17.203216171891043</v>
      </c>
      <c r="CE65" s="69">
        <v>-19.04558848949118</v>
      </c>
      <c r="CF65" s="69">
        <v>-20.94247956593567</v>
      </c>
      <c r="CG65" s="69">
        <v>-22.839370642380175</v>
      </c>
      <c r="CH65" s="69">
        <v>-24.736261718824636</v>
      </c>
      <c r="CI65" s="69">
        <v>-26.633152795269154</v>
      </c>
      <c r="CJ65" s="69">
        <v>-28.530043871713715</v>
      </c>
      <c r="CK65" s="69">
        <v>-30.426934948158191</v>
      </c>
      <c r="CL65" s="69">
        <v>-32.323826024602653</v>
      </c>
      <c r="CM65" s="69">
        <v>-33.573377278608319</v>
      </c>
      <c r="CN65" s="69">
        <v>-34.439914080391389</v>
      </c>
      <c r="CO65" s="69">
        <v>-35.306450882174516</v>
      </c>
      <c r="CP65" s="69">
        <v>-37.075855997325519</v>
      </c>
      <c r="CQ65" s="69">
        <v>-39.012908112441949</v>
      </c>
      <c r="CR65" s="69">
        <v>-40.949960227558364</v>
      </c>
      <c r="CS65" s="69">
        <v>-42.887012342674836</v>
      </c>
      <c r="CT65" s="69">
        <v>-44.824064457791238</v>
      </c>
      <c r="CU65" s="69">
        <v>-46.761116572907667</v>
      </c>
      <c r="CV65" s="69">
        <v>-48.698168688024097</v>
      </c>
      <c r="CW65" s="69">
        <v>-50.635220803140527</v>
      </c>
      <c r="CX65" s="69">
        <v>-52.572272918256942</v>
      </c>
      <c r="CY65" s="69">
        <v>-54.509325033373344</v>
      </c>
      <c r="CZ65" s="69">
        <v>-56.446377148489731</v>
      </c>
      <c r="DA65" s="69">
        <v>-58.38342926360616</v>
      </c>
      <c r="DB65" s="69">
        <v>-60.320481378722576</v>
      </c>
      <c r="DC65" s="69">
        <v>-62.257533493839034</v>
      </c>
      <c r="DD65" s="69">
        <v>-64.194585608955492</v>
      </c>
      <c r="DE65" s="69">
        <v>-66.131637724071865</v>
      </c>
      <c r="DF65" s="69">
        <v>-68.068689839188295</v>
      </c>
      <c r="DG65" s="69">
        <v>-70.005741954304739</v>
      </c>
      <c r="DH65" s="69">
        <v>-71.942794069421169</v>
      </c>
      <c r="DI65" s="69">
        <v>-73.879846184537541</v>
      </c>
      <c r="DJ65" s="69">
        <v>-75.816898299654</v>
      </c>
      <c r="DK65" s="69">
        <v>-77.753950414770401</v>
      </c>
      <c r="DL65" s="69">
        <v>-79.691002529886859</v>
      </c>
      <c r="DM65" s="69">
        <v>-81.628054645003303</v>
      </c>
      <c r="DN65" s="69">
        <v>-83.565106760119619</v>
      </c>
      <c r="DO65" s="69">
        <v>-85.50215887523612</v>
      </c>
      <c r="DP65" s="69">
        <v>-87.439210990352535</v>
      </c>
      <c r="DQ65" s="69">
        <v>-89.376263105468979</v>
      </c>
      <c r="DR65" s="69"/>
      <c r="DS65" s="69"/>
      <c r="DT65" s="69"/>
      <c r="DU65" s="69"/>
      <c r="DV65" s="69"/>
      <c r="DW65" s="69"/>
      <c r="DX65" s="69"/>
      <c r="DY65" s="69"/>
    </row>
    <row r="66" spans="1:129" x14ac:dyDescent="0.2">
      <c r="A66" s="84">
        <f>Customer!$B$11</f>
        <v>15.584769999999999</v>
      </c>
      <c r="B66" s="80" t="s">
        <v>384</v>
      </c>
      <c r="C66" s="154">
        <f t="shared" si="7"/>
        <v>0.57450590837983595</v>
      </c>
      <c r="D66" s="114">
        <f>C66/Inputs!$C$82-1</f>
        <v>-0.34715237684109557</v>
      </c>
      <c r="E66" s="86">
        <f>(Technical!$B$33*Inputs!$C$19+Technical!$B$32*Inputs!$C$20)/10^6*Costs!$B$8*C66</f>
        <v>88.209851512715417</v>
      </c>
      <c r="F66" s="69"/>
      <c r="G66" s="69"/>
      <c r="H66" s="70">
        <f t="shared" si="8"/>
        <v>38</v>
      </c>
      <c r="I66" s="69"/>
      <c r="J66" s="77">
        <f t="shared" si="9"/>
        <v>15.584769999999999</v>
      </c>
      <c r="K66" s="69">
        <v>61.296390124752314</v>
      </c>
      <c r="L66" s="69">
        <v>59.760736319335749</v>
      </c>
      <c r="M66" s="69">
        <v>58.220568794100878</v>
      </c>
      <c r="N66" s="69">
        <v>56.674632359575618</v>
      </c>
      <c r="O66" s="69">
        <v>55.128695925050366</v>
      </c>
      <c r="P66" s="69">
        <v>53.582759490525099</v>
      </c>
      <c r="Q66" s="69">
        <v>52.031408344099134</v>
      </c>
      <c r="R66" s="69">
        <v>50.471521409382966</v>
      </c>
      <c r="S66" s="69">
        <v>48.911634474666805</v>
      </c>
      <c r="T66" s="69">
        <v>47.351747539950637</v>
      </c>
      <c r="U66" s="69">
        <v>45.791860605234497</v>
      </c>
      <c r="V66" s="69">
        <v>44.220089718597158</v>
      </c>
      <c r="W66" s="69">
        <v>42.644848702014912</v>
      </c>
      <c r="X66" s="69">
        <v>41.069607685432693</v>
      </c>
      <c r="Y66" s="69">
        <v>39.462409927804778</v>
      </c>
      <c r="Z66" s="69">
        <v>37.83698696386012</v>
      </c>
      <c r="AA66" s="69">
        <v>36.211563999915455</v>
      </c>
      <c r="AB66" s="69">
        <v>34.574906308468762</v>
      </c>
      <c r="AC66" s="69">
        <v>32.928193207092328</v>
      </c>
      <c r="AD66" s="69">
        <v>31.281480105715893</v>
      </c>
      <c r="AE66" s="69">
        <v>29.634767004339444</v>
      </c>
      <c r="AF66" s="69">
        <v>27.981046343138274</v>
      </c>
      <c r="AG66" s="69">
        <v>26.314655772921178</v>
      </c>
      <c r="AH66" s="69">
        <v>24.648265202704032</v>
      </c>
      <c r="AI66" s="69">
        <v>22.981874632486928</v>
      </c>
      <c r="AJ66" s="69">
        <v>21.307398611508184</v>
      </c>
      <c r="AK66" s="69">
        <v>19.622807366988688</v>
      </c>
      <c r="AL66" s="69">
        <v>17.938216122469221</v>
      </c>
      <c r="AM66" s="69">
        <v>16.253624877949719</v>
      </c>
      <c r="AN66" s="69">
        <v>14.556824509813751</v>
      </c>
      <c r="AO66" s="69">
        <v>12.854552329875773</v>
      </c>
      <c r="AP66" s="69">
        <v>11.147309992822656</v>
      </c>
      <c r="AQ66" s="69">
        <v>9.4352744600761866</v>
      </c>
      <c r="AR66" s="69">
        <v>7.7115000776602045</v>
      </c>
      <c r="AS66" s="69">
        <v>5.987725695244265</v>
      </c>
      <c r="AT66" s="69">
        <v>4.2623624732151626</v>
      </c>
      <c r="AU66" s="69">
        <v>2.5234628319096402</v>
      </c>
      <c r="AV66" s="69">
        <v>0.78456319060412483</v>
      </c>
      <c r="AW66" s="69">
        <v>-0.95662443343870507</v>
      </c>
      <c r="AX66" s="69">
        <v>-2.7095301360373014</v>
      </c>
      <c r="AY66" s="69">
        <v>-4.4624358386358978</v>
      </c>
      <c r="AZ66" s="69">
        <v>-6.2204899730738674</v>
      </c>
      <c r="BA66" s="69">
        <v>-7.9863740388253461</v>
      </c>
      <c r="BB66" s="69">
        <v>-9.7522581045768462</v>
      </c>
      <c r="BC66" s="69">
        <v>-11.527748242284012</v>
      </c>
      <c r="BD66" s="69">
        <v>-13.305666200132542</v>
      </c>
      <c r="BE66" s="69">
        <v>-15.121199419457319</v>
      </c>
      <c r="BF66" s="69">
        <v>-17.00332590741597</v>
      </c>
      <c r="BG66" s="69">
        <v>-18.885452395374543</v>
      </c>
      <c r="BH66" s="69">
        <v>-20.767578883333179</v>
      </c>
      <c r="BI66" s="69">
        <v>-22.649705371291809</v>
      </c>
      <c r="BJ66" s="69">
        <v>-24.438109280866492</v>
      </c>
      <c r="BK66" s="69">
        <v>-25.404589053009381</v>
      </c>
      <c r="BL66" s="69">
        <v>-26.502084435076718</v>
      </c>
      <c r="BM66" s="69">
        <v>-28.4195923804443</v>
      </c>
      <c r="BN66" s="69">
        <v>-30.33781569111153</v>
      </c>
      <c r="BO66" s="69">
        <v>-32.256039001778731</v>
      </c>
      <c r="BP66" s="69">
        <v>-34.174262312445975</v>
      </c>
      <c r="BQ66" s="69">
        <v>-36.092485623113184</v>
      </c>
      <c r="BR66" s="69">
        <v>-38.010708933780435</v>
      </c>
      <c r="BS66" s="69">
        <v>-39.92893224444768</v>
      </c>
      <c r="BT66" s="69">
        <v>-41.847155555114909</v>
      </c>
      <c r="BU66" s="69">
        <v>-43.765378865782132</v>
      </c>
      <c r="BV66" s="69">
        <v>-45.683602176449376</v>
      </c>
      <c r="BW66" s="69">
        <v>-47.601825487116599</v>
      </c>
      <c r="BX66" s="69">
        <v>-49.520048797783829</v>
      </c>
      <c r="BY66" s="69">
        <v>-51.438272108451045</v>
      </c>
      <c r="BZ66" s="69">
        <v>-53.356495419118296</v>
      </c>
      <c r="CA66" s="69">
        <v>-55.274718729785533</v>
      </c>
      <c r="CB66" s="69">
        <v>-57.192942040452763</v>
      </c>
      <c r="CC66" s="69">
        <v>-59.111165351120007</v>
      </c>
      <c r="CD66" s="69">
        <v>-61.02938866178723</v>
      </c>
      <c r="CE66" s="69">
        <v>-62.947611972454439</v>
      </c>
      <c r="CF66" s="69">
        <v>-64.865835283121697</v>
      </c>
      <c r="CG66" s="69">
        <v>-66.784058593788927</v>
      </c>
      <c r="CH66" s="69">
        <v>-68.702281904456129</v>
      </c>
      <c r="CI66" s="69">
        <v>-70.620505215123387</v>
      </c>
      <c r="CJ66" s="69">
        <v>-72.538728525790646</v>
      </c>
      <c r="CK66" s="69">
        <v>-74.456951836457861</v>
      </c>
      <c r="CL66" s="69">
        <v>-76.375175147125091</v>
      </c>
      <c r="CM66" s="69">
        <v>-78.293398457792307</v>
      </c>
      <c r="CN66" s="69">
        <v>-80.211621768459537</v>
      </c>
      <c r="CO66" s="69">
        <v>-82.12984507912681</v>
      </c>
      <c r="CP66" s="69">
        <v>-84.048068389793997</v>
      </c>
      <c r="CQ66" s="69">
        <v>-85.966291700461213</v>
      </c>
      <c r="CR66" s="69">
        <v>-87.884515011128485</v>
      </c>
      <c r="CS66" s="69">
        <v>-89.802738321795687</v>
      </c>
      <c r="CT66" s="69">
        <v>-91.720961632462888</v>
      </c>
      <c r="CU66" s="69">
        <v>-93.639184943130203</v>
      </c>
      <c r="CV66" s="69">
        <v>-95.557408253797433</v>
      </c>
      <c r="CW66" s="69">
        <v>-97.475631564464663</v>
      </c>
      <c r="CX66" s="69">
        <v>-99.393854875131865</v>
      </c>
      <c r="CY66" s="69">
        <v>-101.31207818579911</v>
      </c>
      <c r="CZ66" s="69">
        <v>-103.23030149646631</v>
      </c>
      <c r="DA66" s="69">
        <v>-105.14852480713357</v>
      </c>
      <c r="DB66" s="69">
        <v>-107.06674811780077</v>
      </c>
      <c r="DC66" s="69">
        <v>-108.98497142846801</v>
      </c>
      <c r="DD66" s="69">
        <v>-110.9031947391353</v>
      </c>
      <c r="DE66" s="69">
        <v>-112.82141804980247</v>
      </c>
      <c r="DF66" s="69">
        <v>-114.7396413604697</v>
      </c>
      <c r="DG66" s="69">
        <v>-116.65786467113695</v>
      </c>
      <c r="DH66" s="69">
        <v>-118.57608798180421</v>
      </c>
      <c r="DI66" s="69">
        <v>-120.49431129247137</v>
      </c>
      <c r="DJ66" s="69">
        <v>-122.41253460313868</v>
      </c>
      <c r="DK66" s="69">
        <v>-124.33075791380585</v>
      </c>
      <c r="DL66" s="69">
        <v>-126.24898122447311</v>
      </c>
      <c r="DM66" s="69">
        <v>-128.1672045351404</v>
      </c>
      <c r="DN66" s="69">
        <v>-130.08542784580754</v>
      </c>
      <c r="DO66" s="69">
        <v>-132.00461848008408</v>
      </c>
      <c r="DP66" s="69">
        <v>-133.93193302623047</v>
      </c>
      <c r="DQ66" s="69">
        <v>-135.85924757237689</v>
      </c>
      <c r="DR66" s="69"/>
      <c r="DS66" s="69"/>
      <c r="DT66" s="69"/>
      <c r="DU66" s="69"/>
      <c r="DV66" s="69"/>
      <c r="DW66" s="69"/>
      <c r="DX66" s="69"/>
      <c r="DY66" s="69"/>
    </row>
    <row r="67" spans="1:129" x14ac:dyDescent="0.2">
      <c r="A67" s="84">
        <f>Customer!$B$10</f>
        <v>10.476615926666669</v>
      </c>
      <c r="B67" s="80" t="s">
        <v>385</v>
      </c>
      <c r="C67" s="154">
        <f t="shared" si="7"/>
        <v>0.44750364165454415</v>
      </c>
      <c r="D67" s="114">
        <f>C67/Inputs!$C$82-1</f>
        <v>-0.49147313448347252</v>
      </c>
      <c r="E67" s="86">
        <f>(Technical!$B$33*Inputs!$C$19+Technical!$B$32*Inputs!$C$20)/10^6*Costs!$B$8*C67</f>
        <v>68.709876096954375</v>
      </c>
      <c r="F67" s="69"/>
      <c r="G67" s="69"/>
      <c r="H67" s="70">
        <f t="shared" si="8"/>
        <v>25</v>
      </c>
      <c r="I67" s="69"/>
      <c r="J67" s="77">
        <f t="shared" si="9"/>
        <v>10.476615926666669</v>
      </c>
      <c r="K67" s="69">
        <v>40.597643875649773</v>
      </c>
      <c r="L67" s="69">
        <v>39.052962781958399</v>
      </c>
      <c r="M67" s="69">
        <v>37.500828827609851</v>
      </c>
      <c r="N67" s="69">
        <v>35.948694873261253</v>
      </c>
      <c r="O67" s="69">
        <v>34.396560918912655</v>
      </c>
      <c r="P67" s="69">
        <v>32.831880156237325</v>
      </c>
      <c r="Q67" s="69">
        <v>31.264320431259719</v>
      </c>
      <c r="R67" s="69">
        <v>29.689811695892864</v>
      </c>
      <c r="S67" s="69">
        <v>28.072619491875599</v>
      </c>
      <c r="T67" s="69">
        <v>26.454609858901101</v>
      </c>
      <c r="U67" s="69">
        <v>24.81838444189891</v>
      </c>
      <c r="V67" s="69">
        <v>23.178968733476758</v>
      </c>
      <c r="W67" s="69">
        <v>21.539553025054584</v>
      </c>
      <c r="X67" s="69">
        <v>19.888270434362568</v>
      </c>
      <c r="Y67" s="69">
        <v>18.229061485553164</v>
      </c>
      <c r="Z67" s="69">
        <v>16.569852536743753</v>
      </c>
      <c r="AA67" s="69">
        <v>14.900305555288259</v>
      </c>
      <c r="AB67" s="69">
        <v>13.222782525685922</v>
      </c>
      <c r="AC67" s="69">
        <v>11.545259496083581</v>
      </c>
      <c r="AD67" s="69">
        <v>9.8562244250279889</v>
      </c>
      <c r="AE67" s="69">
        <v>8.1595909369590487</v>
      </c>
      <c r="AF67" s="69">
        <v>6.4589916037133293</v>
      </c>
      <c r="AG67" s="69">
        <v>4.7420249680581108</v>
      </c>
      <c r="AH67" s="69">
        <v>3.0250583324028852</v>
      </c>
      <c r="AI67" s="69">
        <v>1.2997765399755181</v>
      </c>
      <c r="AJ67" s="69">
        <v>-0.43241777288641003</v>
      </c>
      <c r="AK67" s="69">
        <v>-2.1686234494158114</v>
      </c>
      <c r="AL67" s="69">
        <v>-3.9149189033150265</v>
      </c>
      <c r="AM67" s="69">
        <v>-5.6633261421879837</v>
      </c>
      <c r="AN67" s="69">
        <v>-7.4226873692087949</v>
      </c>
      <c r="AO67" s="69">
        <v>-9.1841281210720851</v>
      </c>
      <c r="AP67" s="69">
        <v>-10.955602835142656</v>
      </c>
      <c r="AQ67" s="69">
        <v>-12.759444865992513</v>
      </c>
      <c r="AR67" s="69">
        <v>-14.635798087762666</v>
      </c>
      <c r="AS67" s="69">
        <v>-16.512151309532804</v>
      </c>
      <c r="AT67" s="69">
        <v>-18.388504531302942</v>
      </c>
      <c r="AU67" s="69">
        <v>-19.785282013095738</v>
      </c>
      <c r="AV67" s="69">
        <v>-20.819922993160532</v>
      </c>
      <c r="AW67" s="69">
        <v>-22.727991449024259</v>
      </c>
      <c r="AX67" s="69">
        <v>-24.638884646987897</v>
      </c>
      <c r="AY67" s="69">
        <v>-26.549777844951592</v>
      </c>
      <c r="AZ67" s="69">
        <v>-28.460671042915251</v>
      </c>
      <c r="BA67" s="69">
        <v>-30.371564240878911</v>
      </c>
      <c r="BB67" s="69">
        <v>-32.282457438842592</v>
      </c>
      <c r="BC67" s="69">
        <v>-34.193350636806244</v>
      </c>
      <c r="BD67" s="69">
        <v>-36.104243834769917</v>
      </c>
      <c r="BE67" s="69">
        <v>-38.015137032733556</v>
      </c>
      <c r="BF67" s="69">
        <v>-39.926030230697236</v>
      </c>
      <c r="BG67" s="69">
        <v>-41.836923428660882</v>
      </c>
      <c r="BH67" s="69">
        <v>-43.747816626624555</v>
      </c>
      <c r="BI67" s="69">
        <v>-45.658709824588229</v>
      </c>
      <c r="BJ67" s="69">
        <v>-47.569603022551902</v>
      </c>
      <c r="BK67" s="69">
        <v>-49.480496220515555</v>
      </c>
      <c r="BL67" s="69">
        <v>-51.391389418479221</v>
      </c>
      <c r="BM67" s="69">
        <v>-53.302282616442888</v>
      </c>
      <c r="BN67" s="69">
        <v>-55.213175814406547</v>
      </c>
      <c r="BO67" s="69">
        <v>-57.1240690123702</v>
      </c>
      <c r="BP67" s="69">
        <v>-59.034962210333873</v>
      </c>
      <c r="BQ67" s="69">
        <v>-60.945855408297518</v>
      </c>
      <c r="BR67" s="69">
        <v>-62.85674860626122</v>
      </c>
      <c r="BS67" s="69">
        <v>-64.767641804224866</v>
      </c>
      <c r="BT67" s="69">
        <v>-66.678535002188568</v>
      </c>
      <c r="BU67" s="69">
        <v>-68.589428200152199</v>
      </c>
      <c r="BV67" s="69">
        <v>-70.500321398115886</v>
      </c>
      <c r="BW67" s="69">
        <v>-72.411214596079517</v>
      </c>
      <c r="BX67" s="69">
        <v>-74.322107794043191</v>
      </c>
      <c r="BY67" s="69">
        <v>-76.233000992006822</v>
      </c>
      <c r="BZ67" s="69">
        <v>-78.143894189970524</v>
      </c>
      <c r="CA67" s="69">
        <v>-80.054787387934198</v>
      </c>
      <c r="CB67" s="69">
        <v>-81.965680585897843</v>
      </c>
      <c r="CC67" s="69">
        <v>-83.876573783861531</v>
      </c>
      <c r="CD67" s="69">
        <v>-85.78746698182519</v>
      </c>
      <c r="CE67" s="69">
        <v>-87.698360179788821</v>
      </c>
      <c r="CF67" s="69">
        <v>-89.609253377752509</v>
      </c>
      <c r="CG67" s="69">
        <v>-91.520146575716154</v>
      </c>
      <c r="CH67" s="69">
        <v>-93.431039773679828</v>
      </c>
      <c r="CI67" s="69">
        <v>-95.341932971643502</v>
      </c>
      <c r="CJ67" s="69">
        <v>-97.252826169607204</v>
      </c>
      <c r="CK67" s="69">
        <v>-99.163719367570849</v>
      </c>
      <c r="CL67" s="69">
        <v>-101.07461256553452</v>
      </c>
      <c r="CM67" s="69">
        <v>-102.98975110806828</v>
      </c>
      <c r="CN67" s="69">
        <v>-104.9093399577589</v>
      </c>
      <c r="CO67" s="69">
        <v>-106.82919119452518</v>
      </c>
      <c r="CP67" s="69">
        <v>-108.74980014334778</v>
      </c>
      <c r="CQ67" s="69">
        <v>-110.67040909217039</v>
      </c>
      <c r="CR67" s="69">
        <v>-112.59185417095044</v>
      </c>
      <c r="CS67" s="69">
        <v>-114.51353301943813</v>
      </c>
      <c r="CT67" s="69">
        <v>-116.4352508673287</v>
      </c>
      <c r="CU67" s="69">
        <v>-118.35805097701937</v>
      </c>
      <c r="CV67" s="69">
        <v>-120.28085108671007</v>
      </c>
      <c r="CW67" s="69">
        <v>-122.20365119640071</v>
      </c>
      <c r="CX67" s="69">
        <v>-124.12645130609138</v>
      </c>
      <c r="CY67" s="69">
        <v>-126.04975930220317</v>
      </c>
      <c r="CZ67" s="69">
        <v>-127.97373347582831</v>
      </c>
      <c r="DA67" s="69">
        <v>-129.89770764945342</v>
      </c>
      <c r="DB67" s="69">
        <v>-131.82168182307853</v>
      </c>
      <c r="DC67" s="69">
        <v>-133.74680914943943</v>
      </c>
      <c r="DD67" s="69">
        <v>-135.67201147276975</v>
      </c>
      <c r="DE67" s="69">
        <v>-137.59721379610002</v>
      </c>
      <c r="DF67" s="69">
        <v>-139.52363677057411</v>
      </c>
      <c r="DG67" s="69">
        <v>-141.45012240929884</v>
      </c>
      <c r="DH67" s="69">
        <v>-143.37660804802363</v>
      </c>
      <c r="DI67" s="69">
        <v>-145.30397711110072</v>
      </c>
      <c r="DJ67" s="69">
        <v>-147.23180205514325</v>
      </c>
      <c r="DK67" s="69">
        <v>-149.15962699918569</v>
      </c>
      <c r="DL67" s="69">
        <v>-151.08745194322816</v>
      </c>
      <c r="DM67" s="69">
        <v>-153.01527688727072</v>
      </c>
      <c r="DN67" s="69">
        <v>-154.94310183131307</v>
      </c>
      <c r="DO67" s="69">
        <v>-156.87227904962302</v>
      </c>
      <c r="DP67" s="69">
        <v>-158.8014997961881</v>
      </c>
      <c r="DQ67" s="69">
        <v>-160.73072054275326</v>
      </c>
      <c r="DR67" s="69"/>
      <c r="DS67" s="69"/>
      <c r="DT67" s="69"/>
      <c r="DU67" s="69"/>
      <c r="DV67" s="69"/>
      <c r="DW67" s="69"/>
      <c r="DX67" s="69"/>
      <c r="DY67" s="69"/>
    </row>
    <row r="68" spans="1:129" x14ac:dyDescent="0.2">
      <c r="A68" s="84">
        <f>Customer!$B$9</f>
        <v>6.0982783800000009</v>
      </c>
      <c r="B68" s="80" t="s">
        <v>386</v>
      </c>
      <c r="C68" s="154">
        <f t="shared" si="7"/>
        <v>0.33899974601383875</v>
      </c>
      <c r="D68" s="114">
        <f>C68/Inputs!$C$82-1</f>
        <v>-0.61477301589336508</v>
      </c>
      <c r="E68" s="86">
        <f>(Technical!$B$33*Inputs!$C$19+Technical!$B$32*Inputs!$C$20)/10^6*Costs!$B$8*C68</f>
        <v>52.050147479002845</v>
      </c>
      <c r="F68" s="69"/>
      <c r="G68" s="69"/>
      <c r="H68" s="70">
        <f t="shared" si="8"/>
        <v>14</v>
      </c>
      <c r="I68" s="69"/>
      <c r="J68" s="77">
        <f t="shared" si="9"/>
        <v>6.0982783800000009</v>
      </c>
      <c r="K68" s="69">
        <v>22.961325507269589</v>
      </c>
      <c r="L68" s="69">
        <v>21.399629216818859</v>
      </c>
      <c r="M68" s="69">
        <v>19.806777110623461</v>
      </c>
      <c r="N68" s="69">
        <v>18.193573041634277</v>
      </c>
      <c r="O68" s="69">
        <v>16.563170432714401</v>
      </c>
      <c r="P68" s="69">
        <v>14.932767823794517</v>
      </c>
      <c r="Q68" s="69">
        <v>13.287573835116817</v>
      </c>
      <c r="R68" s="69">
        <v>11.637234994953189</v>
      </c>
      <c r="S68" s="69">
        <v>9.9784141709421625</v>
      </c>
      <c r="T68" s="69">
        <v>8.3096211802387785</v>
      </c>
      <c r="U68" s="69">
        <v>6.6358914682319288</v>
      </c>
      <c r="V68" s="69">
        <v>4.9486256735384657</v>
      </c>
      <c r="W68" s="69">
        <v>3.2521261546484084</v>
      </c>
      <c r="X68" s="69">
        <v>1.543567850478837</v>
      </c>
      <c r="Y68" s="69">
        <v>-0.17155594090963433</v>
      </c>
      <c r="Z68" s="69">
        <v>-1.8954684204049883</v>
      </c>
      <c r="AA68" s="69">
        <v>-3.6299900156032265</v>
      </c>
      <c r="AB68" s="69">
        <v>-5.3703832083578575</v>
      </c>
      <c r="AC68" s="69">
        <v>-7.1216879972937832</v>
      </c>
      <c r="AD68" s="69">
        <v>-8.8815336425162812</v>
      </c>
      <c r="AE68" s="69">
        <v>-10.679323625430001</v>
      </c>
      <c r="AF68" s="69">
        <v>-12.548546215351749</v>
      </c>
      <c r="AG68" s="69">
        <v>-14.417768805273482</v>
      </c>
      <c r="AH68" s="69">
        <v>-15.641232941599682</v>
      </c>
      <c r="AI68" s="69">
        <v>-17.248631313513108</v>
      </c>
      <c r="AJ68" s="69">
        <v>-19.148684407580085</v>
      </c>
      <c r="AK68" s="69">
        <v>-21.050524093477982</v>
      </c>
      <c r="AL68" s="69">
        <v>-22.952363779375865</v>
      </c>
      <c r="AM68" s="69">
        <v>-24.854203465273763</v>
      </c>
      <c r="AN68" s="69">
        <v>-26.756043151171667</v>
      </c>
      <c r="AO68" s="69">
        <v>-28.657882837069529</v>
      </c>
      <c r="AP68" s="69">
        <v>-30.559722522967434</v>
      </c>
      <c r="AQ68" s="69">
        <v>-32.46156220886531</v>
      </c>
      <c r="AR68" s="69">
        <v>-34.363401894763214</v>
      </c>
      <c r="AS68" s="69">
        <v>-36.265241580661105</v>
      </c>
      <c r="AT68" s="69">
        <v>-38.167081266559009</v>
      </c>
      <c r="AU68" s="69">
        <v>-40.068920952456885</v>
      </c>
      <c r="AV68" s="69">
        <v>-41.970760638354761</v>
      </c>
      <c r="AW68" s="69">
        <v>-43.872600324252673</v>
      </c>
      <c r="AX68" s="69">
        <v>-45.774440010150563</v>
      </c>
      <c r="AY68" s="69">
        <v>-47.676279696048461</v>
      </c>
      <c r="AZ68" s="69">
        <v>-49.578119381946344</v>
      </c>
      <c r="BA68" s="69">
        <v>-51.479959067844227</v>
      </c>
      <c r="BB68" s="69">
        <v>-53.381798753742146</v>
      </c>
      <c r="BC68" s="69">
        <v>-55.283638439640015</v>
      </c>
      <c r="BD68" s="69">
        <v>-57.185478125537934</v>
      </c>
      <c r="BE68" s="69">
        <v>-59.087317811435803</v>
      </c>
      <c r="BF68" s="69">
        <v>-60.989157497333707</v>
      </c>
      <c r="BG68" s="69">
        <v>-62.890997183231555</v>
      </c>
      <c r="BH68" s="69">
        <v>-64.792836869129474</v>
      </c>
      <c r="BI68" s="69">
        <v>-66.694676555027371</v>
      </c>
      <c r="BJ68" s="69">
        <v>-68.59651624092524</v>
      </c>
      <c r="BK68" s="69">
        <v>-70.498355926823166</v>
      </c>
      <c r="BL68" s="69">
        <v>-72.400195612721035</v>
      </c>
      <c r="BM68" s="69">
        <v>-74.302035298618904</v>
      </c>
      <c r="BN68" s="69">
        <v>-76.20387498451683</v>
      </c>
      <c r="BO68" s="69">
        <v>-78.112403729542535</v>
      </c>
      <c r="BP68" s="69">
        <v>-80.022593016956634</v>
      </c>
      <c r="BQ68" s="69">
        <v>-81.933665880019575</v>
      </c>
      <c r="BR68" s="69">
        <v>-83.845052131754898</v>
      </c>
      <c r="BS68" s="69">
        <v>-85.757204663933379</v>
      </c>
      <c r="BT68" s="69">
        <v>-87.669643657579769</v>
      </c>
      <c r="BU68" s="69">
        <v>-89.582931557191543</v>
      </c>
      <c r="BV68" s="69">
        <v>-91.496219456803345</v>
      </c>
      <c r="BW68" s="69">
        <v>-93.409507356415091</v>
      </c>
      <c r="BX68" s="69">
        <v>-95.323363929059369</v>
      </c>
      <c r="BY68" s="69">
        <v>-97.237844995563449</v>
      </c>
      <c r="BZ68" s="69">
        <v>-99.152326062067573</v>
      </c>
      <c r="CA68" s="69">
        <v>-101.06793315339883</v>
      </c>
      <c r="CB68" s="69">
        <v>-102.98366721458765</v>
      </c>
      <c r="CC68" s="69">
        <v>-104.90062191608052</v>
      </c>
      <c r="CD68" s="69">
        <v>-106.8176707208184</v>
      </c>
      <c r="CE68" s="69">
        <v>-108.73580149697294</v>
      </c>
      <c r="CF68" s="69">
        <v>-110.6542285671573</v>
      </c>
      <c r="CG68" s="69">
        <v>-112.57265563734165</v>
      </c>
      <c r="CH68" s="69">
        <v>-114.49108270752598</v>
      </c>
      <c r="CI68" s="69">
        <v>-116.41017426601611</v>
      </c>
      <c r="CJ68" s="69">
        <v>-118.33004470048384</v>
      </c>
      <c r="CK68" s="69">
        <v>-120.24991513495148</v>
      </c>
      <c r="CL68" s="69">
        <v>-122.16978556941912</v>
      </c>
      <c r="CM68" s="69">
        <v>-124.08965600388674</v>
      </c>
      <c r="CN68" s="69">
        <v>-126.00952643835441</v>
      </c>
      <c r="CO68" s="69">
        <v>-127.92939687282208</v>
      </c>
      <c r="CP68" s="69">
        <v>-129.84926730728972</v>
      </c>
      <c r="CQ68" s="69">
        <v>-131.76913774175736</v>
      </c>
      <c r="CR68" s="69">
        <v>-133.68900817622503</v>
      </c>
      <c r="CS68" s="69">
        <v>-135.6088786106927</v>
      </c>
      <c r="CT68" s="69">
        <v>-137.52874904516034</v>
      </c>
      <c r="CU68" s="69">
        <v>-139.44861947962801</v>
      </c>
      <c r="CV68" s="69">
        <v>-141.3684899140957</v>
      </c>
      <c r="CW68" s="69">
        <v>-143.28836034856334</v>
      </c>
      <c r="CX68" s="69">
        <v>-145.20823078303101</v>
      </c>
      <c r="CY68" s="69">
        <v>-147.12810121749862</v>
      </c>
      <c r="CZ68" s="69">
        <v>-149.04797165196629</v>
      </c>
      <c r="DA68" s="69">
        <v>-150.96784208643396</v>
      </c>
      <c r="DB68" s="69">
        <v>-152.88771252090157</v>
      </c>
      <c r="DC68" s="69">
        <v>-154.80758295536927</v>
      </c>
      <c r="DD68" s="69">
        <v>-156.72745338983694</v>
      </c>
      <c r="DE68" s="69">
        <v>-158.64732382430458</v>
      </c>
      <c r="DF68" s="69">
        <v>-160.56719425877222</v>
      </c>
      <c r="DG68" s="69">
        <v>-162.48706469323989</v>
      </c>
      <c r="DH68" s="69">
        <v>-164.40693512770756</v>
      </c>
      <c r="DI68" s="69">
        <v>-166.3268055621752</v>
      </c>
      <c r="DJ68" s="69">
        <v>-168.24667599664286</v>
      </c>
      <c r="DK68" s="69">
        <v>-170.16654643111048</v>
      </c>
      <c r="DL68" s="69">
        <v>-172.08641686557817</v>
      </c>
      <c r="DM68" s="69">
        <v>-174.00628730004587</v>
      </c>
      <c r="DN68" s="69">
        <v>-175.92615773451342</v>
      </c>
      <c r="DO68" s="69">
        <v>-177.84602816898112</v>
      </c>
      <c r="DP68" s="69">
        <v>-179.76589860344879</v>
      </c>
      <c r="DQ68" s="69">
        <v>-181.68576903791646</v>
      </c>
      <c r="DR68" s="69"/>
      <c r="DS68" s="69"/>
      <c r="DT68" s="69"/>
      <c r="DU68" s="69"/>
      <c r="DV68" s="69"/>
      <c r="DW68" s="69"/>
      <c r="DX68" s="69"/>
      <c r="DY68" s="69"/>
    </row>
    <row r="69" spans="1:129" x14ac:dyDescent="0.2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  <c r="CP69" s="69"/>
      <c r="CQ69" s="69"/>
      <c r="CR69" s="69"/>
      <c r="CS69" s="69"/>
      <c r="CT69" s="69"/>
      <c r="CU69" s="69"/>
      <c r="CV69" s="69"/>
      <c r="CW69" s="69"/>
      <c r="CX69" s="69"/>
      <c r="CY69" s="69"/>
      <c r="CZ69" s="69"/>
      <c r="DA69" s="69"/>
      <c r="DB69" s="69"/>
      <c r="DC69" s="69"/>
      <c r="DD69" s="69"/>
      <c r="DE69" s="69"/>
      <c r="DF69" s="69"/>
      <c r="DG69" s="69"/>
      <c r="DH69" s="69"/>
      <c r="DI69" s="69"/>
      <c r="DJ69" s="69"/>
      <c r="DK69" s="69"/>
      <c r="DL69" s="69"/>
      <c r="DM69" s="69"/>
      <c r="DN69" s="69"/>
      <c r="DO69" s="69"/>
      <c r="DP69" s="69"/>
      <c r="DQ69" s="69"/>
      <c r="DR69" s="69"/>
      <c r="DS69" s="69"/>
      <c r="DT69" s="69"/>
      <c r="DU69" s="69"/>
      <c r="DV69" s="69"/>
      <c r="DW69" s="69"/>
      <c r="DX69" s="69"/>
      <c r="DY69" s="69"/>
    </row>
    <row r="70" spans="1:129" x14ac:dyDescent="0.2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69"/>
      <c r="CR70" s="69"/>
      <c r="CS70" s="69"/>
      <c r="CT70" s="69"/>
      <c r="CU70" s="69"/>
      <c r="CV70" s="69"/>
      <c r="CW70" s="69"/>
      <c r="CX70" s="69"/>
      <c r="CY70" s="69"/>
      <c r="CZ70" s="69"/>
      <c r="DA70" s="69"/>
      <c r="DB70" s="69"/>
      <c r="DC70" s="69"/>
      <c r="DD70" s="69"/>
      <c r="DE70" s="69"/>
      <c r="DF70" s="69"/>
      <c r="DG70" s="69"/>
      <c r="DH70" s="69"/>
      <c r="DI70" s="69"/>
      <c r="DJ70" s="69"/>
      <c r="DK70" s="69"/>
      <c r="DL70" s="69"/>
      <c r="DM70" s="69"/>
      <c r="DN70" s="69"/>
      <c r="DO70" s="69"/>
      <c r="DP70" s="69"/>
      <c r="DQ70" s="69"/>
      <c r="DR70" s="69"/>
      <c r="DS70" s="69"/>
      <c r="DT70" s="69"/>
      <c r="DU70" s="69"/>
      <c r="DV70" s="69"/>
      <c r="DW70" s="69"/>
      <c r="DX70" s="69"/>
      <c r="DY70" s="69"/>
    </row>
    <row r="71" spans="1:129" x14ac:dyDescent="0.2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69"/>
      <c r="CA71" s="69"/>
      <c r="CB71" s="69"/>
      <c r="CC71" s="69"/>
      <c r="CD71" s="69"/>
      <c r="CE71" s="69"/>
      <c r="CF71" s="69"/>
      <c r="CG71" s="69"/>
      <c r="CH71" s="69"/>
      <c r="CI71" s="69"/>
      <c r="CJ71" s="69"/>
      <c r="CK71" s="69"/>
      <c r="CL71" s="69"/>
      <c r="CM71" s="69"/>
      <c r="CN71" s="69"/>
      <c r="CO71" s="69"/>
      <c r="CP71" s="69"/>
      <c r="CQ71" s="69"/>
      <c r="CR71" s="69"/>
      <c r="CS71" s="69"/>
      <c r="CT71" s="69"/>
      <c r="CU71" s="69"/>
      <c r="CV71" s="69"/>
      <c r="CW71" s="69"/>
      <c r="CX71" s="69"/>
      <c r="CY71" s="69"/>
      <c r="CZ71" s="69"/>
      <c r="DA71" s="69"/>
      <c r="DB71" s="69"/>
      <c r="DC71" s="69"/>
      <c r="DD71" s="69"/>
      <c r="DE71" s="69"/>
      <c r="DF71" s="69"/>
      <c r="DG71" s="69"/>
      <c r="DH71" s="69"/>
      <c r="DI71" s="69"/>
      <c r="DJ71" s="69"/>
      <c r="DK71" s="69"/>
      <c r="DL71" s="69"/>
      <c r="DM71" s="69"/>
      <c r="DN71" s="69"/>
      <c r="DO71" s="69"/>
      <c r="DP71" s="69"/>
      <c r="DQ71" s="69"/>
      <c r="DR71" s="69"/>
      <c r="DS71" s="69"/>
      <c r="DT71" s="69"/>
      <c r="DU71" s="69"/>
      <c r="DV71" s="69"/>
      <c r="DW71" s="69"/>
      <c r="DX71" s="69"/>
      <c r="DY71" s="69"/>
    </row>
    <row r="72" spans="1:129" x14ac:dyDescent="0.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69"/>
      <c r="CI72" s="69"/>
      <c r="CJ72" s="69"/>
      <c r="CK72" s="69"/>
      <c r="CL72" s="69"/>
      <c r="CM72" s="69"/>
      <c r="CN72" s="69"/>
      <c r="CO72" s="69"/>
      <c r="CP72" s="69"/>
      <c r="CQ72" s="69"/>
      <c r="CR72" s="69"/>
      <c r="CS72" s="69"/>
      <c r="CT72" s="69"/>
      <c r="CU72" s="69"/>
      <c r="CV72" s="69"/>
      <c r="CW72" s="69"/>
      <c r="CX72" s="69"/>
      <c r="CY72" s="69"/>
      <c r="CZ72" s="69"/>
      <c r="DA72" s="69"/>
      <c r="DB72" s="69"/>
      <c r="DC72" s="69"/>
      <c r="DD72" s="69"/>
      <c r="DE72" s="69"/>
      <c r="DF72" s="69"/>
      <c r="DG72" s="69"/>
      <c r="DH72" s="69"/>
      <c r="DI72" s="69"/>
      <c r="DJ72" s="69"/>
      <c r="DK72" s="69"/>
      <c r="DL72" s="69"/>
      <c r="DM72" s="69"/>
      <c r="DN72" s="69"/>
      <c r="DO72" s="69"/>
      <c r="DP72" s="69"/>
      <c r="DQ72" s="69"/>
      <c r="DR72" s="69"/>
      <c r="DS72" s="69"/>
      <c r="DT72" s="69"/>
      <c r="DU72" s="69"/>
      <c r="DV72" s="69"/>
      <c r="DW72" s="69"/>
      <c r="DX72" s="69"/>
      <c r="DY72" s="69"/>
    </row>
    <row r="73" spans="1:129" x14ac:dyDescent="0.2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9"/>
      <c r="CM73" s="69"/>
      <c r="CN73" s="69"/>
      <c r="CO73" s="69"/>
      <c r="CP73" s="69"/>
      <c r="CQ73" s="69"/>
      <c r="CR73" s="69"/>
      <c r="CS73" s="69"/>
      <c r="CT73" s="69"/>
      <c r="CU73" s="69"/>
      <c r="CV73" s="69"/>
      <c r="CW73" s="69"/>
      <c r="CX73" s="69"/>
      <c r="CY73" s="69"/>
      <c r="CZ73" s="69"/>
      <c r="DA73" s="69"/>
      <c r="DB73" s="69"/>
      <c r="DC73" s="69"/>
      <c r="DD73" s="69"/>
      <c r="DE73" s="69"/>
      <c r="DF73" s="69"/>
      <c r="DG73" s="69"/>
      <c r="DH73" s="69"/>
      <c r="DI73" s="69"/>
      <c r="DJ73" s="69"/>
      <c r="DK73" s="69"/>
      <c r="DL73" s="69"/>
      <c r="DM73" s="69"/>
      <c r="DN73" s="69"/>
      <c r="DO73" s="69"/>
      <c r="DP73" s="69"/>
      <c r="DQ73" s="69"/>
      <c r="DR73" s="69"/>
      <c r="DS73" s="69"/>
      <c r="DT73" s="69"/>
      <c r="DU73" s="69"/>
      <c r="DV73" s="69"/>
      <c r="DW73" s="69"/>
      <c r="DX73" s="69"/>
      <c r="DY73" s="69"/>
    </row>
    <row r="74" spans="1:129" x14ac:dyDescent="0.2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  <c r="BY74" s="69"/>
      <c r="BZ74" s="69"/>
      <c r="CA74" s="69"/>
      <c r="CB74" s="69"/>
      <c r="CC74" s="69"/>
      <c r="CD74" s="69"/>
      <c r="CE74" s="69"/>
      <c r="CF74" s="69"/>
      <c r="CG74" s="69"/>
      <c r="CH74" s="69"/>
      <c r="CI74" s="69"/>
      <c r="CJ74" s="69"/>
      <c r="CK74" s="69"/>
      <c r="CL74" s="69"/>
      <c r="CM74" s="69"/>
      <c r="CN74" s="69"/>
      <c r="CO74" s="69"/>
      <c r="CP74" s="69"/>
      <c r="CQ74" s="69"/>
      <c r="CR74" s="69"/>
      <c r="CS74" s="69"/>
      <c r="CT74" s="69"/>
      <c r="CU74" s="69"/>
      <c r="CV74" s="69"/>
      <c r="CW74" s="69"/>
      <c r="CX74" s="69"/>
      <c r="CY74" s="69"/>
      <c r="CZ74" s="69"/>
      <c r="DA74" s="69"/>
      <c r="DB74" s="69"/>
      <c r="DC74" s="69"/>
      <c r="DD74" s="69"/>
      <c r="DE74" s="69"/>
      <c r="DF74" s="69"/>
      <c r="DG74" s="69"/>
      <c r="DH74" s="69"/>
      <c r="DI74" s="69"/>
      <c r="DJ74" s="69"/>
      <c r="DK74" s="69"/>
      <c r="DL74" s="69"/>
      <c r="DM74" s="69"/>
      <c r="DN74" s="69"/>
      <c r="DO74" s="69"/>
      <c r="DP74" s="69"/>
      <c r="DQ74" s="69"/>
      <c r="DR74" s="69"/>
      <c r="DS74" s="69"/>
      <c r="DT74" s="69"/>
      <c r="DU74" s="69"/>
      <c r="DV74" s="69"/>
      <c r="DW74" s="69"/>
      <c r="DX74" s="69"/>
      <c r="DY74" s="69"/>
    </row>
    <row r="75" spans="1:129" x14ac:dyDescent="0.2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69"/>
      <c r="CA75" s="69"/>
      <c r="CB75" s="69"/>
      <c r="CC75" s="69"/>
      <c r="CD75" s="69"/>
      <c r="CE75" s="69"/>
      <c r="CF75" s="69"/>
      <c r="CG75" s="69"/>
      <c r="CH75" s="69"/>
      <c r="CI75" s="69"/>
      <c r="CJ75" s="69"/>
      <c r="CK75" s="69"/>
      <c r="CL75" s="69"/>
      <c r="CM75" s="69"/>
      <c r="CN75" s="69"/>
      <c r="CO75" s="69"/>
      <c r="CP75" s="69"/>
      <c r="CQ75" s="69"/>
      <c r="CR75" s="69"/>
      <c r="CS75" s="69"/>
      <c r="CT75" s="69"/>
      <c r="CU75" s="69"/>
      <c r="CV75" s="69"/>
      <c r="CW75" s="69"/>
      <c r="CX75" s="69"/>
      <c r="CY75" s="69"/>
      <c r="CZ75" s="69"/>
      <c r="DA75" s="69"/>
      <c r="DB75" s="69"/>
      <c r="DC75" s="69"/>
      <c r="DD75" s="69"/>
      <c r="DE75" s="69"/>
      <c r="DF75" s="69"/>
      <c r="DG75" s="69"/>
      <c r="DH75" s="69"/>
      <c r="DI75" s="69"/>
      <c r="DJ75" s="69"/>
      <c r="DK75" s="69"/>
      <c r="DL75" s="69"/>
      <c r="DM75" s="69"/>
      <c r="DN75" s="69"/>
      <c r="DO75" s="69"/>
      <c r="DP75" s="69"/>
      <c r="DQ75" s="69"/>
      <c r="DR75" s="69"/>
      <c r="DS75" s="69"/>
      <c r="DT75" s="69"/>
      <c r="DU75" s="69"/>
      <c r="DV75" s="69"/>
      <c r="DW75" s="69"/>
      <c r="DX75" s="69"/>
      <c r="DY75" s="69"/>
    </row>
    <row r="76" spans="1:129" x14ac:dyDescent="0.2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  <c r="CP76" s="69"/>
      <c r="CQ76" s="69"/>
      <c r="CR76" s="69"/>
      <c r="CS76" s="69"/>
      <c r="CT76" s="69"/>
      <c r="CU76" s="69"/>
      <c r="CV76" s="69"/>
      <c r="CW76" s="69"/>
      <c r="CX76" s="69"/>
      <c r="CY76" s="69"/>
      <c r="CZ76" s="69"/>
      <c r="DA76" s="69"/>
      <c r="DB76" s="69"/>
      <c r="DC76" s="69"/>
      <c r="DD76" s="69"/>
      <c r="DE76" s="69"/>
      <c r="DF76" s="69"/>
      <c r="DG76" s="69"/>
      <c r="DH76" s="69"/>
      <c r="DI76" s="69"/>
      <c r="DJ76" s="69"/>
      <c r="DK76" s="69"/>
      <c r="DL76" s="69"/>
      <c r="DM76" s="69"/>
      <c r="DN76" s="69"/>
      <c r="DO76" s="69"/>
      <c r="DP76" s="69"/>
      <c r="DQ76" s="69"/>
      <c r="DR76" s="69"/>
      <c r="DS76" s="69"/>
      <c r="DT76" s="69"/>
      <c r="DU76" s="69"/>
      <c r="DV76" s="69"/>
      <c r="DW76" s="69"/>
      <c r="DX76" s="69"/>
      <c r="DY76" s="69"/>
    </row>
    <row r="77" spans="1:129" x14ac:dyDescent="0.2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  <c r="CG77" s="69"/>
      <c r="CH77" s="69"/>
      <c r="CI77" s="69"/>
      <c r="CJ77" s="69"/>
      <c r="CK77" s="69"/>
      <c r="CL77" s="69"/>
      <c r="CM77" s="69"/>
      <c r="CN77" s="69"/>
      <c r="CO77" s="69"/>
      <c r="CP77" s="69"/>
      <c r="CQ77" s="69"/>
      <c r="CR77" s="69"/>
      <c r="CS77" s="69"/>
      <c r="CT77" s="69"/>
      <c r="CU77" s="69"/>
      <c r="CV77" s="69"/>
      <c r="CW77" s="69"/>
      <c r="CX77" s="69"/>
      <c r="CY77" s="69"/>
      <c r="CZ77" s="69"/>
      <c r="DA77" s="69"/>
      <c r="DB77" s="69"/>
      <c r="DC77" s="69"/>
      <c r="DD77" s="69"/>
      <c r="DE77" s="69"/>
      <c r="DF77" s="69"/>
      <c r="DG77" s="69"/>
      <c r="DH77" s="69"/>
      <c r="DI77" s="69"/>
      <c r="DJ77" s="69"/>
      <c r="DK77" s="69"/>
      <c r="DL77" s="69"/>
      <c r="DM77" s="69"/>
      <c r="DN77" s="69"/>
      <c r="DO77" s="69"/>
      <c r="DP77" s="69"/>
      <c r="DQ77" s="69"/>
      <c r="DR77" s="69"/>
      <c r="DS77" s="69"/>
      <c r="DT77" s="69"/>
      <c r="DU77" s="69"/>
      <c r="DV77" s="69"/>
      <c r="DW77" s="69"/>
      <c r="DX77" s="69"/>
      <c r="DY77" s="69"/>
    </row>
    <row r="78" spans="1:129" x14ac:dyDescent="0.2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  <c r="CN78" s="69"/>
      <c r="CO78" s="69"/>
      <c r="CP78" s="69"/>
      <c r="CQ78" s="69"/>
      <c r="CR78" s="69"/>
      <c r="CS78" s="69"/>
      <c r="CT78" s="69"/>
      <c r="CU78" s="69"/>
      <c r="CV78" s="69"/>
      <c r="CW78" s="69"/>
      <c r="CX78" s="69"/>
      <c r="CY78" s="69"/>
      <c r="CZ78" s="69"/>
      <c r="DA78" s="69"/>
      <c r="DB78" s="69"/>
      <c r="DC78" s="69"/>
      <c r="DD78" s="69"/>
      <c r="DE78" s="69"/>
      <c r="DF78" s="69"/>
      <c r="DG78" s="69"/>
      <c r="DH78" s="69"/>
      <c r="DI78" s="69"/>
      <c r="DJ78" s="69"/>
      <c r="DK78" s="69"/>
      <c r="DL78" s="69"/>
      <c r="DM78" s="69"/>
      <c r="DN78" s="69"/>
      <c r="DO78" s="69"/>
      <c r="DP78" s="69"/>
      <c r="DQ78" s="69"/>
      <c r="DR78" s="69"/>
      <c r="DS78" s="69"/>
      <c r="DT78" s="69"/>
      <c r="DU78" s="69"/>
      <c r="DV78" s="69"/>
      <c r="DW78" s="69"/>
      <c r="DX78" s="69"/>
      <c r="DY78" s="69"/>
    </row>
    <row r="79" spans="1:129" x14ac:dyDescent="0.2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  <c r="CG79" s="69"/>
      <c r="CH79" s="69"/>
      <c r="CI79" s="69"/>
      <c r="CJ79" s="69"/>
      <c r="CK79" s="69"/>
      <c r="CL79" s="69"/>
      <c r="CM79" s="69"/>
      <c r="CN79" s="69"/>
      <c r="CO79" s="69"/>
      <c r="CP79" s="69"/>
      <c r="CQ79" s="69"/>
      <c r="CR79" s="69"/>
      <c r="CS79" s="69"/>
      <c r="CT79" s="69"/>
      <c r="CU79" s="69"/>
      <c r="CV79" s="69"/>
      <c r="CW79" s="69"/>
      <c r="CX79" s="69"/>
      <c r="CY79" s="69"/>
      <c r="CZ79" s="69"/>
      <c r="DA79" s="69"/>
      <c r="DB79" s="69"/>
      <c r="DC79" s="69"/>
      <c r="DD79" s="69"/>
      <c r="DE79" s="69"/>
      <c r="DF79" s="69"/>
      <c r="DG79" s="69"/>
      <c r="DH79" s="69"/>
      <c r="DI79" s="69"/>
      <c r="DJ79" s="69"/>
      <c r="DK79" s="69"/>
      <c r="DL79" s="69"/>
      <c r="DM79" s="69"/>
      <c r="DN79" s="69"/>
      <c r="DO79" s="69"/>
      <c r="DP79" s="69"/>
      <c r="DQ79" s="69"/>
      <c r="DR79" s="69"/>
      <c r="DS79" s="69"/>
      <c r="DT79" s="69"/>
      <c r="DU79" s="69"/>
      <c r="DV79" s="69"/>
      <c r="DW79" s="69"/>
      <c r="DX79" s="69"/>
      <c r="DY79" s="69"/>
    </row>
    <row r="80" spans="1:129" x14ac:dyDescent="0.2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  <c r="CG80" s="69"/>
      <c r="CH80" s="69"/>
      <c r="CI80" s="69"/>
      <c r="CJ80" s="69"/>
      <c r="CK80" s="69"/>
      <c r="CL80" s="69"/>
      <c r="CM80" s="69"/>
      <c r="CN80" s="69"/>
      <c r="CO80" s="69"/>
      <c r="CP80" s="69"/>
      <c r="CQ80" s="69"/>
      <c r="CR80" s="69"/>
      <c r="CS80" s="69"/>
      <c r="CT80" s="69"/>
      <c r="CU80" s="69"/>
      <c r="CV80" s="69"/>
      <c r="CW80" s="69"/>
      <c r="CX80" s="69"/>
      <c r="CY80" s="69"/>
      <c r="CZ80" s="69"/>
      <c r="DA80" s="69"/>
      <c r="DB80" s="69"/>
      <c r="DC80" s="69"/>
      <c r="DD80" s="69"/>
      <c r="DE80" s="69"/>
      <c r="DF80" s="69"/>
      <c r="DG80" s="69"/>
      <c r="DH80" s="69"/>
      <c r="DI80" s="69"/>
      <c r="DJ80" s="69"/>
      <c r="DK80" s="69"/>
      <c r="DL80" s="69"/>
      <c r="DM80" s="69"/>
      <c r="DN80" s="69"/>
      <c r="DO80" s="69"/>
      <c r="DP80" s="69"/>
      <c r="DQ80" s="69"/>
      <c r="DR80" s="69"/>
      <c r="DS80" s="69"/>
      <c r="DT80" s="69"/>
      <c r="DU80" s="69"/>
      <c r="DV80" s="69"/>
      <c r="DW80" s="69"/>
      <c r="DX80" s="69"/>
      <c r="DY80" s="69"/>
    </row>
  </sheetData>
  <mergeCells count="6">
    <mergeCell ref="A56:B56"/>
    <mergeCell ref="A61:E61"/>
    <mergeCell ref="A1:B4"/>
    <mergeCell ref="A18:G18"/>
    <mergeCell ref="A34:G34"/>
    <mergeCell ref="A50:D5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7"/>
  <sheetViews>
    <sheetView tabSelected="1" workbookViewId="0">
      <pane ySplit="2" topLeftCell="A3" activePane="bottomLeft" state="frozen"/>
      <selection pane="bottomLeft" activeCell="G17" sqref="G17"/>
    </sheetView>
  </sheetViews>
  <sheetFormatPr baseColWidth="10" defaultColWidth="8.83203125" defaultRowHeight="15" x14ac:dyDescent="0.2"/>
  <cols>
    <col min="1" max="1" width="45.83203125" style="16" bestFit="1" customWidth="1"/>
    <col min="2" max="2" width="7.1640625" style="16" bestFit="1" customWidth="1"/>
    <col min="3" max="3" width="16.33203125" style="16" bestFit="1" customWidth="1"/>
    <col min="4" max="4" width="37.33203125" style="16" bestFit="1" customWidth="1"/>
    <col min="5" max="16384" width="8.83203125" style="16"/>
  </cols>
  <sheetData>
    <row r="1" spans="1:4" ht="24" customHeight="1" x14ac:dyDescent="0.2">
      <c r="A1" s="115" t="s">
        <v>387</v>
      </c>
      <c r="B1" s="116"/>
      <c r="C1" s="116"/>
      <c r="D1" s="116"/>
    </row>
    <row r="2" spans="1:4" x14ac:dyDescent="0.2">
      <c r="A2" s="78" t="s">
        <v>430</v>
      </c>
      <c r="B2" s="79" t="s">
        <v>12</v>
      </c>
      <c r="C2" s="79" t="s">
        <v>13</v>
      </c>
      <c r="D2" s="79" t="s">
        <v>508</v>
      </c>
    </row>
    <row r="3" spans="1:4" x14ac:dyDescent="0.2">
      <c r="A3" s="120" t="s">
        <v>515</v>
      </c>
      <c r="B3" s="121"/>
      <c r="C3" s="121"/>
      <c r="D3" s="122"/>
    </row>
    <row r="4" spans="1:4" x14ac:dyDescent="0.2">
      <c r="A4" s="80" t="s">
        <v>388</v>
      </c>
      <c r="B4" s="81">
        <f>Inputs!$C$85</f>
        <v>555</v>
      </c>
      <c r="C4" s="80" t="s">
        <v>62</v>
      </c>
      <c r="D4" s="80"/>
    </row>
    <row r="5" spans="1:4" x14ac:dyDescent="0.2">
      <c r="A5" s="80" t="s">
        <v>389</v>
      </c>
      <c r="B5" s="82">
        <f>Inputs!$C$13</f>
        <v>0.92320000000000002</v>
      </c>
      <c r="C5" s="80" t="s">
        <v>390</v>
      </c>
      <c r="D5" s="80"/>
    </row>
    <row r="6" spans="1:4" x14ac:dyDescent="0.2">
      <c r="A6" s="80" t="s">
        <v>391</v>
      </c>
      <c r="B6" s="81">
        <f>Inputs!$C$32</f>
        <v>337.83</v>
      </c>
      <c r="C6" s="80" t="s">
        <v>103</v>
      </c>
      <c r="D6" s="80"/>
    </row>
    <row r="7" spans="1:4" x14ac:dyDescent="0.2">
      <c r="A7" s="80" t="s">
        <v>392</v>
      </c>
      <c r="B7" s="81">
        <f>Inputs!$C$83</f>
        <v>181.91</v>
      </c>
      <c r="C7" s="80" t="s">
        <v>103</v>
      </c>
      <c r="D7" s="80"/>
    </row>
    <row r="8" spans="1:4" x14ac:dyDescent="0.2">
      <c r="A8" s="80" t="s">
        <v>393</v>
      </c>
      <c r="B8" s="83">
        <v>0</v>
      </c>
      <c r="C8" s="80" t="s">
        <v>103</v>
      </c>
      <c r="D8" s="80"/>
    </row>
    <row r="9" spans="1:4" x14ac:dyDescent="0.2">
      <c r="A9" s="80" t="s">
        <v>394</v>
      </c>
      <c r="B9" s="65">
        <f>(B4-B6)*B5*365/12/1000</f>
        <v>6.0982783800000009</v>
      </c>
      <c r="C9" s="80" t="s">
        <v>395</v>
      </c>
      <c r="D9" s="80"/>
    </row>
    <row r="10" spans="1:4" x14ac:dyDescent="0.2">
      <c r="A10" s="80" t="s">
        <v>396</v>
      </c>
      <c r="B10" s="65">
        <f>(B4-B7)*B5*365/12/1000</f>
        <v>10.476615926666669</v>
      </c>
      <c r="C10" s="80" t="s">
        <v>395</v>
      </c>
      <c r="D10" s="80"/>
    </row>
    <row r="11" spans="1:4" x14ac:dyDescent="0.2">
      <c r="A11" s="80" t="s">
        <v>397</v>
      </c>
      <c r="B11" s="65">
        <f>(B4-B8)*B5*365/12/1000</f>
        <v>15.584769999999999</v>
      </c>
      <c r="C11" s="80" t="s">
        <v>395</v>
      </c>
      <c r="D11" s="80"/>
    </row>
    <row r="12" spans="1:4" x14ac:dyDescent="0.2">
      <c r="A12" s="80" t="s">
        <v>398</v>
      </c>
      <c r="B12" s="84">
        <f>Results!$B$9</f>
        <v>27.653459170323316</v>
      </c>
      <c r="C12" s="80" t="s">
        <v>58</v>
      </c>
      <c r="D12" s="80"/>
    </row>
    <row r="13" spans="1:4" x14ac:dyDescent="0.2">
      <c r="A13" s="80" t="s">
        <v>399</v>
      </c>
      <c r="B13" s="84">
        <f>B12/B11</f>
        <v>1.7743899441777657</v>
      </c>
      <c r="C13" s="80" t="s">
        <v>94</v>
      </c>
      <c r="D13" s="80"/>
    </row>
    <row r="14" spans="1:4" x14ac:dyDescent="0.2">
      <c r="A14" s="80" t="s">
        <v>400</v>
      </c>
      <c r="B14" s="84">
        <f>B12/B9</f>
        <v>4.534633784678638</v>
      </c>
      <c r="C14" s="80" t="s">
        <v>94</v>
      </c>
      <c r="D14" s="80"/>
    </row>
    <row r="15" spans="1:4" x14ac:dyDescent="0.2">
      <c r="A15" s="153" t="s">
        <v>401</v>
      </c>
      <c r="B15" s="153"/>
      <c r="C15" s="153"/>
      <c r="D15" s="153"/>
    </row>
    <row r="16" spans="1:4" x14ac:dyDescent="0.2">
      <c r="A16" s="80" t="s">
        <v>402</v>
      </c>
      <c r="B16" s="85">
        <f>Technical!$B$9</f>
        <v>45</v>
      </c>
      <c r="C16" s="80" t="s">
        <v>182</v>
      </c>
      <c r="D16" s="80"/>
    </row>
    <row r="17" spans="1:4" x14ac:dyDescent="0.2">
      <c r="A17" s="80" t="s">
        <v>320</v>
      </c>
      <c r="B17" s="86">
        <f>CashFlow!$D$10*10^6/(B16*365)</f>
        <v>1010.1720244866967</v>
      </c>
      <c r="C17" s="80" t="s">
        <v>62</v>
      </c>
      <c r="D17" s="80"/>
    </row>
    <row r="18" spans="1:4" x14ac:dyDescent="0.2">
      <c r="A18" s="80" t="s">
        <v>403</v>
      </c>
      <c r="B18" s="86">
        <f>CashFlow!$D$12*10^6/(B16*365)</f>
        <v>1348.0020244866967</v>
      </c>
      <c r="C18" s="80" t="s">
        <v>62</v>
      </c>
      <c r="D18" s="80"/>
    </row>
    <row r="19" spans="1:4" x14ac:dyDescent="0.2">
      <c r="A19" s="153" t="s">
        <v>516</v>
      </c>
      <c r="B19" s="153"/>
      <c r="C19" s="153"/>
      <c r="D19" s="153"/>
    </row>
    <row r="20" spans="1:4" x14ac:dyDescent="0.2">
      <c r="A20" s="80" t="s">
        <v>404</v>
      </c>
      <c r="B20" s="86">
        <f>Technical!$B$44*Inputs!$C$63</f>
        <v>1592.5558333333333</v>
      </c>
      <c r="C20" s="80" t="s">
        <v>55</v>
      </c>
      <c r="D20" s="80"/>
    </row>
    <row r="21" spans="1:4" x14ac:dyDescent="0.2">
      <c r="A21" s="80" t="s">
        <v>405</v>
      </c>
      <c r="B21" s="86">
        <f>Results!$B$30*10^6/(Technical!$B$4*8760)</f>
        <v>142.32342999466289</v>
      </c>
      <c r="C21" s="80" t="s">
        <v>55</v>
      </c>
      <c r="D21" s="80"/>
    </row>
    <row r="22" spans="1:4" x14ac:dyDescent="0.2">
      <c r="A22" s="80" t="s">
        <v>406</v>
      </c>
      <c r="B22" s="85">
        <f>Technical!$B$21</f>
        <v>102.66666666666666</v>
      </c>
      <c r="C22" s="80" t="s">
        <v>197</v>
      </c>
      <c r="D22" s="80"/>
    </row>
    <row r="23" spans="1:4" x14ac:dyDescent="0.2">
      <c r="A23" s="80" t="s">
        <v>407</v>
      </c>
      <c r="B23" s="87">
        <f>COUNTIF(Events!$A$5:$A$20,"&gt;="&amp;DATE(2025,1,1))</f>
        <v>13</v>
      </c>
      <c r="C23" s="80" t="s">
        <v>195</v>
      </c>
      <c r="D23" s="80"/>
    </row>
    <row r="24" spans="1:4" x14ac:dyDescent="0.2">
      <c r="A24" s="80" t="s">
        <v>408</v>
      </c>
      <c r="B24" s="85">
        <f>SUMPRODUCT((Events!$A$5:$A$20&gt;=DATE(2025,1,1))*Events!$F$5:$F$20)</f>
        <v>82.166666666666657</v>
      </c>
      <c r="C24" s="80" t="s">
        <v>197</v>
      </c>
      <c r="D24" s="80"/>
    </row>
    <row r="25" spans="1:4" x14ac:dyDescent="0.2">
      <c r="A25" s="80" t="s">
        <v>409</v>
      </c>
      <c r="B25" s="86">
        <f>B24/((DATE(2026,9,21)-DATE(2025,1,1))/365.25)</f>
        <v>47.78881369426751</v>
      </c>
      <c r="C25" s="80" t="s">
        <v>199</v>
      </c>
      <c r="D25" s="80"/>
    </row>
    <row r="26" spans="1:4" x14ac:dyDescent="0.2">
      <c r="A26" s="153" t="s">
        <v>410</v>
      </c>
      <c r="B26" s="153"/>
      <c r="C26" s="153"/>
      <c r="D26" s="153"/>
    </row>
    <row r="27" spans="1:4" x14ac:dyDescent="0.2">
      <c r="A27" s="80" t="s">
        <v>411</v>
      </c>
      <c r="B27" s="88">
        <v>1100</v>
      </c>
      <c r="C27" s="80" t="s">
        <v>42</v>
      </c>
      <c r="D27" s="80" t="s">
        <v>509</v>
      </c>
    </row>
    <row r="28" spans="1:4" x14ac:dyDescent="0.2">
      <c r="A28" s="80" t="s">
        <v>412</v>
      </c>
      <c r="B28" s="88">
        <v>1650</v>
      </c>
      <c r="C28" s="80" t="s">
        <v>42</v>
      </c>
      <c r="D28" s="80" t="s">
        <v>510</v>
      </c>
    </row>
    <row r="29" spans="1:4" x14ac:dyDescent="0.2">
      <c r="A29" s="80" t="s">
        <v>413</v>
      </c>
      <c r="B29" s="89">
        <v>0.76</v>
      </c>
      <c r="C29" s="80" t="s">
        <v>33</v>
      </c>
      <c r="D29" s="80" t="s">
        <v>511</v>
      </c>
    </row>
    <row r="30" spans="1:4" x14ac:dyDescent="0.2">
      <c r="A30" s="80" t="s">
        <v>414</v>
      </c>
      <c r="B30" s="89">
        <v>0.59</v>
      </c>
      <c r="C30" s="80" t="s">
        <v>33</v>
      </c>
      <c r="D30" s="80" t="s">
        <v>512</v>
      </c>
    </row>
    <row r="31" spans="1:4" x14ac:dyDescent="0.2">
      <c r="A31" s="80" t="s">
        <v>415</v>
      </c>
      <c r="B31" s="90">
        <f>B27/B29</f>
        <v>1447.3684210526317</v>
      </c>
      <c r="C31" s="80" t="s">
        <v>416</v>
      </c>
      <c r="D31" s="80"/>
    </row>
    <row r="32" spans="1:4" x14ac:dyDescent="0.2">
      <c r="A32" s="80" t="s">
        <v>417</v>
      </c>
      <c r="B32" s="90">
        <f>B28/B30</f>
        <v>2796.6101694915255</v>
      </c>
      <c r="C32" s="80" t="s">
        <v>416</v>
      </c>
      <c r="D32" s="80"/>
    </row>
    <row r="33" spans="1:4" x14ac:dyDescent="0.2">
      <c r="A33" s="80" t="s">
        <v>418</v>
      </c>
      <c r="B33" s="90">
        <f>Costs!$B$9*1000/Technical!$B$9</f>
        <v>3002.5672959027775</v>
      </c>
      <c r="C33" s="80" t="s">
        <v>416</v>
      </c>
      <c r="D33" s="80"/>
    </row>
    <row r="34" spans="1:4" x14ac:dyDescent="0.2">
      <c r="A34" s="153" t="s">
        <v>419</v>
      </c>
      <c r="B34" s="153"/>
      <c r="C34" s="153"/>
      <c r="D34" s="153"/>
    </row>
    <row r="35" spans="1:4" x14ac:dyDescent="0.2">
      <c r="A35" s="80" t="s">
        <v>420</v>
      </c>
      <c r="B35" s="91">
        <v>4.2</v>
      </c>
      <c r="C35" s="80" t="s">
        <v>421</v>
      </c>
      <c r="D35" s="80" t="s">
        <v>513</v>
      </c>
    </row>
    <row r="36" spans="1:4" x14ac:dyDescent="0.2">
      <c r="A36" s="80" t="s">
        <v>422</v>
      </c>
      <c r="B36" s="91">
        <v>7</v>
      </c>
      <c r="C36" s="80" t="s">
        <v>421</v>
      </c>
      <c r="D36" s="80" t="s">
        <v>514</v>
      </c>
    </row>
    <row r="37" spans="1:4" x14ac:dyDescent="0.2">
      <c r="A37" s="80" t="s">
        <v>423</v>
      </c>
      <c r="B37" s="92">
        <f>(B36-B35)*B5</f>
        <v>2.5849599999999997</v>
      </c>
      <c r="C37" s="80" t="s">
        <v>424</v>
      </c>
      <c r="D37" s="80"/>
    </row>
  </sheetData>
  <mergeCells count="6">
    <mergeCell ref="A34:D34"/>
    <mergeCell ref="A1:D1"/>
    <mergeCell ref="A15:D15"/>
    <mergeCell ref="A3:D3"/>
    <mergeCell ref="A19:D19"/>
    <mergeCell ref="A26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Inputs</vt:lpstr>
      <vt:lpstr>Events</vt:lpstr>
      <vt:lpstr>Technical</vt:lpstr>
      <vt:lpstr>Costs</vt:lpstr>
      <vt:lpstr>CashFlow</vt:lpstr>
      <vt:lpstr>Results</vt:lpstr>
      <vt:lpstr>Sensitivity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Jiawei Qi</dc:creator>
  <cp:lastModifiedBy>Jiawei Qi</cp:lastModifiedBy>
  <dcterms:created xsi:type="dcterms:W3CDTF">2026-09-14T01:27:42Z</dcterms:created>
  <dcterms:modified xsi:type="dcterms:W3CDTF">2026-10-10T03:20:51Z</dcterms:modified>
</cp:coreProperties>
</file>